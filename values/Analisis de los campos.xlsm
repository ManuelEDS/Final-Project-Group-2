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AnyoneAI\Final-Project-Group-2\values\"/>
    </mc:Choice>
  </mc:AlternateContent>
  <xr:revisionPtr revIDLastSave="0" documentId="13_ncr:1_{D7428504-CB19-4662-A835-5FDC96759074}" xr6:coauthVersionLast="47" xr6:coauthVersionMax="47" xr10:uidLastSave="{00000000-0000-0000-0000-000000000000}"/>
  <bookViews>
    <workbookView xWindow="-108" yWindow="-108" windowWidth="23256" windowHeight="13176" activeTab="1" xr2:uid="{08337AE4-AF48-4D62-AD68-64EDF4FB5CE1}"/>
  </bookViews>
  <sheets>
    <sheet name="Hoja2" sheetId="3" r:id="rId1"/>
    <sheet name="Hoja4" sheetId="5" r:id="rId2"/>
    <sheet name="Hoja3" sheetId="4" r:id="rId3"/>
    <sheet name="Hoja1" sheetId="1" r:id="rId4"/>
  </sheets>
  <functionGroups builtInGroupCount="19"/>
  <definedNames>
    <definedName name="del">Hoja3!$B$1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1" i="5" l="1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F34" i="3" a="1"/>
  <c r="H46" i="3" a="1"/>
  <c r="H30" i="3" a="1"/>
  <c r="F20" i="3" a="1"/>
  <c r="F17" i="3" a="1"/>
  <c r="D42" i="3" a="1"/>
  <c r="F9" i="3" a="1"/>
  <c r="D27" i="3" a="1"/>
  <c r="H44" i="3" a="1"/>
  <c r="E3" i="3" a="1"/>
  <c r="C14" i="3" a="1"/>
  <c r="C11" i="3" a="1"/>
  <c r="G30" i="3" a="1"/>
  <c r="E20" i="3" a="1"/>
  <c r="C16" i="3" a="1"/>
  <c r="E33" i="3" a="1"/>
  <c r="C31" i="3" a="1"/>
  <c r="E45" i="3" a="1"/>
  <c r="D41" i="3" a="1"/>
  <c r="H39" i="3" a="1"/>
  <c r="F23" i="3" a="1"/>
  <c r="F51" i="3" a="1"/>
  <c r="D18" i="3" a="1"/>
  <c r="D37" i="3" a="1"/>
  <c r="F12" i="3" a="1"/>
  <c r="D39" i="3" a="1"/>
  <c r="F44" i="3" a="1"/>
  <c r="E10" i="3" a="1"/>
  <c r="E42" i="3" a="1"/>
  <c r="G9" i="3" a="1"/>
  <c r="C24" i="3" a="1"/>
  <c r="G49" i="3" a="1"/>
  <c r="E4" i="3" a="1"/>
  <c r="E7" i="3" a="1"/>
  <c r="E51" i="3" a="1"/>
  <c r="C41" i="3" a="1"/>
  <c r="D2" i="3" a="1"/>
  <c r="D11" i="3" a="1"/>
  <c r="F39" i="3" a="1"/>
  <c r="D30" i="3" a="1"/>
  <c r="D7" i="3" a="1"/>
  <c r="H16" i="3" a="1"/>
  <c r="C44" i="3" a="1"/>
  <c r="G10" i="3" a="1"/>
  <c r="H7" i="3" a="1"/>
  <c r="C4" i="3" a="1"/>
  <c r="F48" i="3" a="1"/>
  <c r="E25" i="3" a="1"/>
  <c r="C35" i="3" a="1"/>
  <c r="H10" i="3" a="1"/>
  <c r="F15" i="3" a="1"/>
  <c r="H31" i="3" a="1"/>
  <c r="G25" i="3" a="1"/>
  <c r="G46" i="3" a="1"/>
  <c r="H17" i="3" a="1"/>
  <c r="E21" i="3" a="1"/>
  <c r="G6" i="3" a="1"/>
  <c r="C2" i="3" a="1"/>
  <c r="D14" i="3" a="1"/>
  <c r="F33" i="3" a="1"/>
  <c r="D25" i="3" a="1"/>
  <c r="H21" i="3" a="1"/>
  <c r="H19" i="3" a="1"/>
  <c r="H43" i="3" a="1"/>
  <c r="D12" i="3" a="1"/>
  <c r="G40" i="3" a="1"/>
  <c r="D5" i="3" a="1"/>
  <c r="E6" i="3" a="1"/>
  <c r="C48" i="3" a="1"/>
  <c r="G29" i="3" a="1"/>
  <c r="C25" i="3" a="1"/>
  <c r="G21" i="3" a="1"/>
  <c r="G19" i="3" a="1"/>
  <c r="G42" i="3" a="1"/>
  <c r="E9" i="3" a="1"/>
  <c r="C46" i="3" a="1"/>
  <c r="H15" i="3" a="1"/>
  <c r="H9" i="3" a="1"/>
  <c r="D26" i="3" a="1"/>
  <c r="H22" i="3" a="1"/>
  <c r="G7" i="3" a="1"/>
  <c r="D17" i="3" a="1"/>
  <c r="D13" i="3" a="1"/>
  <c r="H33" i="3" a="1"/>
  <c r="H26" i="3" a="1"/>
  <c r="G47" i="3" a="1"/>
  <c r="G20" i="3" a="1"/>
  <c r="D28" i="3" a="1"/>
  <c r="C45" i="3" a="1"/>
  <c r="C20" i="3" a="1"/>
  <c r="C33" i="3" a="1"/>
  <c r="C6" i="3" a="1"/>
  <c r="E43" i="3" a="1"/>
  <c r="E16" i="3" a="1"/>
  <c r="H40" i="3" a="1"/>
  <c r="F16" i="3" a="1"/>
  <c r="F5" i="3" a="1"/>
  <c r="C50" i="3" a="1"/>
  <c r="E44" i="3" a="1"/>
  <c r="C39" i="3" a="1"/>
  <c r="G37" i="3" a="1"/>
  <c r="H38" i="3" a="1"/>
  <c r="D45" i="3" a="1"/>
  <c r="C15" i="3" a="1"/>
  <c r="E29" i="3" a="1"/>
  <c r="C10" i="3" a="1"/>
  <c r="C22" i="3" a="1"/>
  <c r="D44" i="3" a="1"/>
  <c r="F28" i="3" a="1"/>
  <c r="C8" i="3" a="1"/>
  <c r="G18" i="3" a="1"/>
  <c r="D16" i="3" a="1"/>
  <c r="C7" i="3" a="1"/>
  <c r="D20" i="3" a="1"/>
  <c r="E46" i="3" a="1"/>
  <c r="G45" i="3" a="1"/>
  <c r="H42" i="3" a="1"/>
  <c r="D36" i="3" a="1"/>
  <c r="F24" i="3" a="1"/>
  <c r="D21" i="3" a="1"/>
  <c r="D19" i="3" a="1"/>
  <c r="D43" i="3" a="1"/>
  <c r="H11" i="3" a="1"/>
  <c r="D46" i="3" a="1"/>
  <c r="F45" i="3" a="1"/>
  <c r="C27" i="3" a="1"/>
  <c r="G16" i="3" a="1"/>
  <c r="C29" i="3" a="1"/>
  <c r="E24" i="3" a="1"/>
  <c r="C21" i="3" a="1"/>
  <c r="C19" i="3" a="1"/>
  <c r="E49" i="3" a="1"/>
  <c r="G32" i="3" a="1"/>
  <c r="G28" i="3" a="1"/>
  <c r="H49" i="3" a="1"/>
  <c r="F32" i="3" a="1"/>
  <c r="H45" i="3" a="1"/>
  <c r="D22" i="3" a="1"/>
  <c r="H50" i="3" a="1"/>
  <c r="F42" i="3" a="1"/>
  <c r="F36" i="3" a="1"/>
  <c r="C40" i="3" a="1"/>
  <c r="G26" i="3" a="1"/>
  <c r="E19" i="3" a="1"/>
  <c r="G33" i="3" a="1"/>
  <c r="C49" i="3" a="1"/>
  <c r="G3" i="3" a="1"/>
  <c r="F19" i="3" a="1"/>
  <c r="H47" i="3" a="1"/>
  <c r="G24" i="3" a="1"/>
  <c r="G22" i="3" a="1"/>
  <c r="F2" i="3" a="1"/>
  <c r="C37" i="3" a="1"/>
  <c r="C38" i="3" a="1"/>
  <c r="D32" i="3" a="1"/>
  <c r="E40" i="3" a="1"/>
  <c r="F14" i="3" a="1"/>
  <c r="E30" i="3" a="1"/>
  <c r="E2" i="3" a="1"/>
  <c r="E50" i="3" a="1"/>
  <c r="D33" i="3" a="1"/>
  <c r="H41" i="3" a="1"/>
  <c r="G38" i="3" a="1"/>
  <c r="F49" i="3" a="1"/>
  <c r="H32" i="3" a="1"/>
  <c r="H23" i="3" a="1"/>
  <c r="F38" i="3" a="1"/>
  <c r="F18" i="3" a="1"/>
  <c r="F37" i="3" a="1"/>
  <c r="F41" i="3" a="1"/>
  <c r="H28" i="3" a="1"/>
  <c r="H4" i="3" a="1"/>
  <c r="E26" i="3" a="1"/>
  <c r="E15" i="3" a="1"/>
  <c r="G12" i="3" a="1"/>
  <c r="G23" i="3" a="1"/>
  <c r="E38" i="3" a="1"/>
  <c r="E18" i="3" a="1"/>
  <c r="E35" i="3" a="1"/>
  <c r="C32" i="3" a="1"/>
  <c r="C28" i="3" a="1"/>
  <c r="D35" i="3" a="1"/>
  <c r="D47" i="3" a="1"/>
  <c r="F25" i="3" a="1"/>
  <c r="F21" i="3" a="1"/>
  <c r="D50" i="3" a="1"/>
  <c r="D15" i="3" a="1"/>
  <c r="D49" i="3" a="1"/>
  <c r="D9" i="3" a="1"/>
  <c r="F4" i="3" a="1"/>
  <c r="E28" i="3" a="1"/>
  <c r="E48" i="3" a="1"/>
  <c r="C26" i="3" a="1"/>
  <c r="E11" i="3" a="1"/>
  <c r="G17" i="3" a="1"/>
  <c r="C9" i="3" a="1"/>
  <c r="E23" i="3" a="1"/>
  <c r="G41" i="3" a="1"/>
  <c r="C13" i="3" a="1"/>
  <c r="H2" i="3" a="1"/>
  <c r="F31" i="3" a="1"/>
  <c r="F29" i="3" a="1"/>
  <c r="H3" i="3" a="1"/>
  <c r="E5" i="3" a="1"/>
  <c r="H8" i="3" a="1"/>
  <c r="F46" i="3" a="1"/>
  <c r="E32" i="3" a="1"/>
  <c r="G34" i="3" a="1"/>
  <c r="F26" i="3" a="1"/>
  <c r="G36" i="3" a="1"/>
  <c r="D8" i="3" a="1"/>
  <c r="H6" i="3" a="1"/>
  <c r="G13" i="3" a="1"/>
  <c r="H25" i="3" a="1"/>
  <c r="F35" i="3" a="1"/>
  <c r="H5" i="3" a="1"/>
  <c r="E22" i="3" a="1"/>
  <c r="G44" i="3" a="1"/>
  <c r="H13" i="3" a="1"/>
  <c r="C34" i="3" a="1"/>
  <c r="E12" i="3" a="1"/>
  <c r="D29" i="3" a="1"/>
  <c r="F47" i="3" a="1"/>
  <c r="D23" i="3" a="1"/>
  <c r="H51" i="3" a="1"/>
  <c r="H48" i="3" a="1"/>
  <c r="H14" i="3" a="1"/>
  <c r="D10" i="3" a="1"/>
  <c r="F6" i="3" a="1"/>
  <c r="D4" i="3" a="1"/>
  <c r="C5" i="3" a="1"/>
  <c r="G43" i="3" a="1"/>
  <c r="C12" i="3" a="1"/>
  <c r="C23" i="3" a="1"/>
  <c r="G51" i="3" a="1"/>
  <c r="G48" i="3" a="1"/>
  <c r="E34" i="3" a="1"/>
  <c r="E47" i="3" a="1"/>
  <c r="G27" i="3" a="1"/>
  <c r="H34" i="3" a="1"/>
  <c r="H24" i="3" a="1"/>
  <c r="F43" i="3" a="1"/>
  <c r="G15" i="3" a="1"/>
  <c r="E31" i="3" a="1"/>
  <c r="D3" i="3" a="1"/>
  <c r="G39" i="3" a="1"/>
  <c r="H29" i="3" a="1"/>
  <c r="C43" i="3" a="1"/>
  <c r="H20" i="3" a="1"/>
  <c r="G35" i="3" a="1"/>
  <c r="E27" i="3" a="1"/>
  <c r="F22" i="3" a="1"/>
  <c r="E39" i="3" a="1"/>
  <c r="G14" i="3" a="1"/>
  <c r="F27" i="3" a="1"/>
  <c r="D6" i="3" a="1"/>
  <c r="C17" i="3" a="1"/>
  <c r="H12" i="3" a="1"/>
  <c r="D31" i="3" a="1"/>
  <c r="G8" i="3" a="1"/>
  <c r="D51" i="3" a="1"/>
  <c r="D48" i="3" a="1"/>
  <c r="F13" i="3" a="1"/>
  <c r="H36" i="3" a="1"/>
  <c r="H27" i="3" a="1"/>
  <c r="F3" i="3" a="1"/>
  <c r="G4" i="3" a="1"/>
  <c r="E37" i="3" a="1"/>
  <c r="G11" i="3" a="1"/>
  <c r="E8" i="3" a="1"/>
  <c r="C51" i="3" a="1"/>
  <c r="E17" i="3" a="1"/>
  <c r="E41" i="3" a="1"/>
  <c r="G31" i="3" a="1"/>
  <c r="G5" i="3" a="1"/>
  <c r="F11" i="3" a="1"/>
  <c r="D40" i="3" a="1"/>
  <c r="D24" i="3" a="1"/>
  <c r="D38" i="3" a="1"/>
  <c r="H18" i="3" a="1"/>
  <c r="H37" i="3" a="1"/>
  <c r="H35" i="3" a="1"/>
  <c r="C3" i="3" a="1"/>
  <c r="E14" i="3" a="1"/>
  <c r="G2" i="3" a="1"/>
  <c r="E13" i="3" a="1"/>
  <c r="C30" i="3" a="1"/>
  <c r="F10" i="3" a="1"/>
  <c r="D34" i="3" a="1"/>
  <c r="C47" i="3" a="1"/>
  <c r="G50" i="3" a="1"/>
  <c r="F50" i="3" a="1"/>
  <c r="C42" i="3" a="1"/>
  <c r="C36" i="3" a="1"/>
  <c r="F30" i="3" a="1"/>
  <c r="E36" i="3" a="1"/>
  <c r="C18" i="3" a="1"/>
  <c r="C18" i="3" l="1"/>
  <c r="E36" i="3"/>
  <c r="F30" i="3"/>
  <c r="C36" i="3"/>
  <c r="C42" i="3"/>
  <c r="F50" i="3"/>
  <c r="G50" i="3"/>
  <c r="C47" i="3"/>
  <c r="D34" i="3"/>
  <c r="F10" i="3"/>
  <c r="C30" i="3"/>
  <c r="E13" i="3"/>
  <c r="G2" i="3"/>
  <c r="E14" i="3"/>
  <c r="C3" i="3"/>
  <c r="H35" i="3"/>
  <c r="H37" i="3"/>
  <c r="H18" i="3"/>
  <c r="D38" i="3"/>
  <c r="D24" i="3"/>
  <c r="D40" i="3"/>
  <c r="F11" i="3"/>
  <c r="G5" i="3"/>
  <c r="G31" i="3"/>
  <c r="E41" i="3"/>
  <c r="E17" i="3"/>
  <c r="C51" i="3"/>
  <c r="E8" i="3"/>
  <c r="G11" i="3"/>
  <c r="E37" i="3"/>
  <c r="G4" i="3"/>
  <c r="F3" i="3"/>
  <c r="H27" i="3"/>
  <c r="H36" i="3"/>
  <c r="F13" i="3"/>
  <c r="D48" i="3"/>
  <c r="D51" i="3"/>
  <c r="G8" i="3"/>
  <c r="D31" i="3"/>
  <c r="H12" i="3"/>
  <c r="C17" i="3"/>
  <c r="D6" i="3"/>
  <c r="F27" i="3"/>
  <c r="G14" i="3"/>
  <c r="E39" i="3"/>
  <c r="F22" i="3"/>
  <c r="E27" i="3"/>
  <c r="G35" i="3"/>
  <c r="H20" i="3"/>
  <c r="C43" i="3"/>
  <c r="H29" i="3"/>
  <c r="G39" i="3"/>
  <c r="D3" i="3"/>
  <c r="E31" i="3"/>
  <c r="G15" i="3"/>
  <c r="F43" i="3"/>
  <c r="H24" i="3"/>
  <c r="H34" i="3"/>
  <c r="G27" i="3"/>
  <c r="E47" i="3"/>
  <c r="E34" i="3"/>
  <c r="G48" i="3"/>
  <c r="G51" i="3"/>
  <c r="C23" i="3"/>
  <c r="C12" i="3"/>
  <c r="G43" i="3"/>
  <c r="C5" i="3"/>
  <c r="D4" i="3"/>
  <c r="F6" i="3"/>
  <c r="D10" i="3"/>
  <c r="H14" i="3"/>
  <c r="H48" i="3"/>
  <c r="H51" i="3"/>
  <c r="D23" i="3"/>
  <c r="F47" i="3"/>
  <c r="D29" i="3"/>
  <c r="E12" i="3"/>
  <c r="C34" i="3"/>
  <c r="H13" i="3"/>
  <c r="G44" i="3"/>
  <c r="E22" i="3"/>
  <c r="H5" i="3"/>
  <c r="F35" i="3"/>
  <c r="H25" i="3"/>
  <c r="G13" i="3"/>
  <c r="H6" i="3"/>
  <c r="D8" i="3"/>
  <c r="G36" i="3"/>
  <c r="F26" i="3"/>
  <c r="G34" i="3"/>
  <c r="E32" i="3"/>
  <c r="F46" i="3"/>
  <c r="H8" i="3"/>
  <c r="E5" i="3"/>
  <c r="H3" i="3"/>
  <c r="F29" i="3"/>
  <c r="F31" i="3"/>
  <c r="H2" i="3"/>
  <c r="C13" i="3"/>
  <c r="G41" i="3"/>
  <c r="E23" i="3"/>
  <c r="C9" i="3"/>
  <c r="G17" i="3"/>
  <c r="E11" i="3"/>
  <c r="C26" i="3"/>
  <c r="E48" i="3"/>
  <c r="E28" i="3"/>
  <c r="F4" i="3"/>
  <c r="D9" i="3"/>
  <c r="D49" i="3"/>
  <c r="D15" i="3"/>
  <c r="D50" i="3"/>
  <c r="F21" i="3"/>
  <c r="F25" i="3"/>
  <c r="D47" i="3"/>
  <c r="D35" i="3"/>
  <c r="C28" i="3"/>
  <c r="C32" i="3"/>
  <c r="E35" i="3"/>
  <c r="E18" i="3"/>
  <c r="E38" i="3"/>
  <c r="G23" i="3"/>
  <c r="G12" i="3"/>
  <c r="E15" i="3"/>
  <c r="E26" i="3"/>
  <c r="H4" i="3"/>
  <c r="H28" i="3"/>
  <c r="F41" i="3"/>
  <c r="F37" i="3"/>
  <c r="F18" i="3"/>
  <c r="F38" i="3"/>
  <c r="H23" i="3"/>
  <c r="H32" i="3"/>
  <c r="F49" i="3"/>
  <c r="G38" i="3"/>
  <c r="H41" i="3"/>
  <c r="D33" i="3"/>
  <c r="E50" i="3"/>
  <c r="E2" i="3"/>
  <c r="E30" i="3"/>
  <c r="F14" i="3"/>
  <c r="E40" i="3"/>
  <c r="D32" i="3"/>
  <c r="C38" i="3"/>
  <c r="C37" i="3"/>
  <c r="F2" i="3"/>
  <c r="G22" i="3"/>
  <c r="G24" i="3"/>
  <c r="H47" i="3"/>
  <c r="F19" i="3"/>
  <c r="G3" i="3"/>
  <c r="C49" i="3"/>
  <c r="G33" i="3"/>
  <c r="E19" i="3"/>
  <c r="G26" i="3"/>
  <c r="C40" i="3"/>
  <c r="F36" i="3"/>
  <c r="F42" i="3"/>
  <c r="H50" i="3"/>
  <c r="D22" i="3"/>
  <c r="H45" i="3"/>
  <c r="F32" i="3"/>
  <c r="H49" i="3"/>
  <c r="G28" i="3"/>
  <c r="G32" i="3"/>
  <c r="E49" i="3"/>
  <c r="C19" i="3"/>
  <c r="C21" i="3"/>
  <c r="E24" i="3"/>
  <c r="C29" i="3"/>
  <c r="G16" i="3"/>
  <c r="C27" i="3"/>
  <c r="F45" i="3"/>
  <c r="D46" i="3"/>
  <c r="H11" i="3"/>
  <c r="D43" i="3"/>
  <c r="D19" i="3"/>
  <c r="D21" i="3"/>
  <c r="F24" i="3"/>
  <c r="D36" i="3"/>
  <c r="H42" i="3"/>
  <c r="G45" i="3"/>
  <c r="E46" i="3"/>
  <c r="D20" i="3"/>
  <c r="C7" i="3"/>
  <c r="D16" i="3"/>
  <c r="G18" i="3"/>
  <c r="C8" i="3"/>
  <c r="F28" i="3"/>
  <c r="D44" i="3"/>
  <c r="C22" i="3"/>
  <c r="C10" i="3"/>
  <c r="E29" i="3"/>
  <c r="C15" i="3"/>
  <c r="D45" i="3"/>
  <c r="H38" i="3"/>
  <c r="G37" i="3"/>
  <c r="C39" i="3"/>
  <c r="E44" i="3"/>
  <c r="C50" i="3"/>
  <c r="F5" i="3"/>
  <c r="F16" i="3"/>
  <c r="H40" i="3"/>
  <c r="E16" i="3"/>
  <c r="E43" i="3"/>
  <c r="C6" i="3"/>
  <c r="C33" i="3"/>
  <c r="C20" i="3"/>
  <c r="C45" i="3"/>
  <c r="D28" i="3"/>
  <c r="G20" i="3"/>
  <c r="G47" i="3"/>
  <c r="H26" i="3"/>
  <c r="H33" i="3"/>
  <c r="D13" i="3"/>
  <c r="D17" i="3"/>
  <c r="G7" i="3"/>
  <c r="H22" i="3"/>
  <c r="D26" i="3"/>
  <c r="H9" i="3"/>
  <c r="H15" i="3"/>
  <c r="C46" i="3"/>
  <c r="E9" i="3"/>
  <c r="G42" i="3"/>
  <c r="G19" i="3"/>
  <c r="G21" i="3"/>
  <c r="C25" i="3"/>
  <c r="G29" i="3"/>
  <c r="C48" i="3"/>
  <c r="E6" i="3"/>
  <c r="D5" i="3"/>
  <c r="G40" i="3"/>
  <c r="D12" i="3"/>
  <c r="H43" i="3"/>
  <c r="H19" i="3"/>
  <c r="H21" i="3"/>
  <c r="D25" i="3"/>
  <c r="F33" i="3"/>
  <c r="D14" i="3"/>
  <c r="C2" i="3"/>
  <c r="G6" i="3"/>
  <c r="E21" i="3"/>
  <c r="H17" i="3"/>
  <c r="G46" i="3"/>
  <c r="G25" i="3"/>
  <c r="H31" i="3"/>
  <c r="F15" i="3"/>
  <c r="H10" i="3"/>
  <c r="C35" i="3"/>
  <c r="E25" i="3"/>
  <c r="F48" i="3"/>
  <c r="C4" i="3"/>
  <c r="H7" i="3"/>
  <c r="G10" i="3"/>
  <c r="C44" i="3"/>
  <c r="H16" i="3"/>
  <c r="D7" i="3"/>
  <c r="D30" i="3"/>
  <c r="F39" i="3"/>
  <c r="D11" i="3"/>
  <c r="D2" i="3"/>
  <c r="C41" i="3"/>
  <c r="E51" i="3"/>
  <c r="E7" i="3"/>
  <c r="E4" i="3"/>
  <c r="G49" i="3"/>
  <c r="C24" i="3"/>
  <c r="G9" i="3"/>
  <c r="E42" i="3"/>
  <c r="E10" i="3"/>
  <c r="F44" i="3"/>
  <c r="D39" i="3"/>
  <c r="F12" i="3"/>
  <c r="D37" i="3"/>
  <c r="D18" i="3"/>
  <c r="F51" i="3"/>
  <c r="F23" i="3"/>
  <c r="H39" i="3"/>
  <c r="D41" i="3"/>
  <c r="E45" i="3"/>
  <c r="C31" i="3"/>
  <c r="E33" i="3"/>
  <c r="C16" i="3"/>
  <c r="E20" i="3"/>
  <c r="G30" i="3"/>
  <c r="C11" i="3"/>
  <c r="C14" i="3"/>
  <c r="E3" i="3"/>
  <c r="H44" i="3"/>
  <c r="D27" i="3"/>
  <c r="F9" i="3"/>
  <c r="D42" i="3"/>
  <c r="F17" i="3"/>
  <c r="F20" i="3"/>
  <c r="H30" i="3"/>
  <c r="H46" i="3"/>
  <c r="F34" i="3"/>
  <c r="I41" i="3" a="1"/>
  <c r="I22" i="3" a="1"/>
  <c r="I38" i="3" a="1"/>
  <c r="I24" i="3" a="1"/>
  <c r="I29" i="3" a="1"/>
  <c r="I4" i="3" a="1"/>
  <c r="I42" i="3" a="1"/>
  <c r="I36" i="3" a="1"/>
  <c r="I17" i="3" a="1"/>
  <c r="I48" i="3" a="1"/>
  <c r="I50" i="3" a="1"/>
  <c r="I19" i="3" a="1"/>
  <c r="I21" i="3" a="1"/>
  <c r="I25" i="3" a="1"/>
  <c r="I33" i="3" a="1"/>
  <c r="I23" i="3" a="1"/>
  <c r="I18" i="3" a="1"/>
  <c r="I7" i="3" a="1"/>
  <c r="I32" i="3" a="1"/>
  <c r="I28" i="3" a="1"/>
  <c r="I2" i="3" a="1"/>
  <c r="I13" i="3" a="1"/>
  <c r="I8" i="3" a="1"/>
  <c r="I47" i="3" a="1"/>
  <c r="I15" i="3" a="1"/>
  <c r="I30" i="3" a="1"/>
  <c r="I16" i="3" a="1"/>
  <c r="I20" i="3" a="1"/>
  <c r="I39" i="3" a="1"/>
  <c r="I34" i="3" a="1"/>
  <c r="I12" i="3" a="1"/>
  <c r="I26" i="3" a="1"/>
  <c r="I43" i="3" a="1"/>
  <c r="I51" i="3" a="1"/>
  <c r="I45" i="3" a="1"/>
  <c r="I14" i="3" a="1"/>
  <c r="I37" i="3" a="1"/>
  <c r="I31" i="3" a="1"/>
  <c r="I5" i="3" a="1"/>
  <c r="I40" i="3" a="1"/>
  <c r="I49" i="3" a="1"/>
  <c r="I6" i="3" a="1"/>
  <c r="I10" i="3" a="1"/>
  <c r="I46" i="3" a="1"/>
  <c r="I27" i="3" a="1"/>
  <c r="I35" i="3" a="1"/>
  <c r="I44" i="3" a="1"/>
  <c r="I9" i="3" a="1"/>
  <c r="I11" i="3" a="1"/>
  <c r="I3" i="3" a="1"/>
  <c r="I3" i="3" l="1"/>
  <c r="I11" i="3"/>
  <c r="I9" i="3"/>
  <c r="I44" i="3"/>
  <c r="I35" i="3"/>
  <c r="I27" i="3"/>
  <c r="I46" i="3"/>
  <c r="I10" i="3"/>
  <c r="I6" i="3"/>
  <c r="I49" i="3"/>
  <c r="I40" i="3"/>
  <c r="I5" i="3"/>
  <c r="I31" i="3"/>
  <c r="I37" i="3"/>
  <c r="I14" i="3"/>
  <c r="I45" i="3"/>
  <c r="I51" i="3"/>
  <c r="I43" i="3"/>
  <c r="I26" i="3"/>
  <c r="I12" i="3"/>
  <c r="I34" i="3"/>
  <c r="I39" i="3"/>
  <c r="I20" i="3"/>
  <c r="I16" i="3"/>
  <c r="I30" i="3"/>
  <c r="I15" i="3"/>
  <c r="I47" i="3"/>
  <c r="I8" i="3"/>
  <c r="I13" i="3"/>
  <c r="I2" i="3"/>
  <c r="I28" i="3"/>
  <c r="I32" i="3"/>
  <c r="I7" i="3"/>
  <c r="I18" i="3"/>
  <c r="I23" i="3"/>
  <c r="I33" i="3"/>
  <c r="I25" i="3"/>
  <c r="I21" i="3"/>
  <c r="I19" i="3"/>
  <c r="I50" i="3"/>
  <c r="I48" i="3"/>
  <c r="I17" i="3"/>
  <c r="I36" i="3"/>
  <c r="I42" i="3"/>
  <c r="I4" i="3"/>
  <c r="I29" i="3"/>
  <c r="I24" i="3"/>
  <c r="I38" i="3"/>
  <c r="I22" i="3"/>
  <c r="I4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<sst xmlns="http://schemas.openxmlformats.org/spreadsheetml/2006/main" count="256" uniqueCount="156">
  <si>
    <t>r4dadage</t>
  </si>
  <si>
    <t>r4height</t>
  </si>
  <si>
    <t>r4agey</t>
  </si>
  <si>
    <t>r4momage</t>
  </si>
  <si>
    <t>r4weight</t>
  </si>
  <si>
    <t>r4wthh</t>
  </si>
  <si>
    <t>r4doctim1y</t>
  </si>
  <si>
    <t>r4hosp1y</t>
  </si>
  <si>
    <t>r4wtresp</t>
  </si>
  <si>
    <t>r4hspnit1y</t>
  </si>
  <si>
    <t>r4livsib</t>
  </si>
  <si>
    <t>r4bmi</t>
  </si>
  <si>
    <t>raevbrn</t>
  </si>
  <si>
    <t>r4imrc8</t>
  </si>
  <si>
    <t>r4vscan</t>
  </si>
  <si>
    <t>r4slfmem</t>
  </si>
  <si>
    <t>r4shlt</t>
  </si>
  <si>
    <t>r4ipent</t>
  </si>
  <si>
    <t>r4verbf</t>
  </si>
  <si>
    <t>r4sight</t>
  </si>
  <si>
    <t>r4rfcntx_m</t>
  </si>
  <si>
    <t>r4hearing</t>
  </si>
  <si>
    <t>r4ser7</t>
  </si>
  <si>
    <t>r4hltc</t>
  </si>
  <si>
    <t>r4tr16</t>
  </si>
  <si>
    <t>r4oopmd1y</t>
  </si>
  <si>
    <t>r4lsatsc3</t>
  </si>
  <si>
    <t>r4decsib</t>
  </si>
  <si>
    <t>r4painlv</t>
  </si>
  <si>
    <t>r4cholst</t>
  </si>
  <si>
    <t>r4tpamt</t>
  </si>
  <si>
    <t>r4igxfr</t>
  </si>
  <si>
    <t>r4arthre</t>
  </si>
  <si>
    <t>r4respe</t>
  </si>
  <si>
    <t>r4vigact</t>
  </si>
  <si>
    <t>r4gcaresckd_m</t>
  </si>
  <si>
    <t>r4wakeup</t>
  </si>
  <si>
    <t>r4joga</t>
  </si>
  <si>
    <t>r4socact_m</t>
  </si>
  <si>
    <t>rafeduc_m</t>
  </si>
  <si>
    <t>r4rxdiabi</t>
  </si>
  <si>
    <t>r4enlife</t>
  </si>
  <si>
    <t>r4iearn</t>
  </si>
  <si>
    <t>r4rested</t>
  </si>
  <si>
    <t>r4wakent</t>
  </si>
  <si>
    <t>r4dentim1y</t>
  </si>
  <si>
    <t>rameduc_m</t>
  </si>
  <si>
    <t>r4rxdiabo</t>
  </si>
  <si>
    <t>r4stoopa</t>
  </si>
  <si>
    <t>r4sleepr</t>
  </si>
  <si>
    <t>Campo</t>
  </si>
  <si>
    <t>1. r4dadage: Age of the respondent's father in Wave 4 (Section A: Demographics, Identifiers, and Weights).</t>
  </si>
  <si>
    <t>2. r4height: Height of the respondent in Wave 4 (Section K: Physical Measures).</t>
  </si>
  <si>
    <t>3. r4agey: Age of the respondent in years in Wave 4 (Section A: Demographics, Identifiers, and Weights).</t>
  </si>
  <si>
    <t>4. r4momage: Age of the respondent's mother in Wave 4 (Section A: Demographics, Identifiers, and Weights).</t>
  </si>
  <si>
    <t>5. r4weight: Weight of the respondent in Wave 4 (Section K: Physical Measures).</t>
  </si>
  <si>
    <t>6. r4wthh: Household weight in Wave 4 (Section A: Demographics, Identifiers, and Weights).</t>
  </si>
  <si>
    <t>7. r4doctim1y: Number of doctor visits in the last year in Wave 4 (Section C: Health Care Utilization and Insurance).</t>
  </si>
  <si>
    <t>8. r4hosp1y: Number of hospitalizations in the last year in Wave 4 (Section C: Health Care Utilization and Insurance).</t>
  </si>
  <si>
    <t>9. r4wtresp: Respondent weight in Wave 4 (Section A: Demographics, Identifiers, and Weights).</t>
  </si>
  <si>
    <t>10. r4hspnit1y: Number of nights in the hospital in the last year in Wave 4 (Section C: Health Care Utilization and Insurance).</t>
  </si>
  <si>
    <t>11. r4livsib: Number of living siblings in Wave 4 (Section G: Family Structure).</t>
  </si>
  <si>
    <t>12. r4bmi: Body Mass Index (BMI) in Wave 4 (Section K: Physical Measures).</t>
  </si>
  <si>
    <t>13. raevbrn: Number of children ever born (Section G: Family Structure).</t>
  </si>
  <si>
    <t>14. r4imrc8: Immediate recall score (8 items) in Wave 4 (Section D: Cognition).</t>
  </si>
  <si>
    <t>15. r4vscan: Use of vascular scan in Wave 4 (Section K: Physical Measures).</t>
  </si>
  <si>
    <t>16. r4slfmem: Self-reported memory in Wave 4 (Section D: Cognition).</t>
  </si>
  <si>
    <t>17. r4shlt: Self-reported health in Wave 4 (Section B: Health).</t>
  </si>
  <si>
    <t>18. r4ipent: Total income from public pensions in Wave 4 (Section F: Income).</t>
  </si>
  <si>
    <t>19. r4verbf: Verbal fluency score in Wave 4 (Section D: Cognition).</t>
  </si>
  <si>
    <t>20. r4sight: Vision problems in Wave 4 (Section B: Health).</t>
  </si>
  <si>
    <t>21. r4rfcntx_m: Frequency of contact with friends and relatives in Wave 4 (Section G: Family Structure).</t>
  </si>
  <si>
    <t>22. r4hearing: Hearing problems in Wave 4 (Section B: Health).</t>
  </si>
  <si>
    <t>23. r4ser7: Score on the serial 7s test in Wave 4 (Section D: Cognition).</t>
  </si>
  <si>
    <t>24. r4hltc: Change in health compared to two years ago in Wave 4 (Section B: Health).</t>
  </si>
  <si>
    <t>25. r4tr16: Delayed recall score (16 items) in Wave 4 (Section D: Cognition).</t>
  </si>
  <si>
    <t>26. r4oopmd1y: Out-of-pocket medical expenses in the last year in Wave 4 (Section C: Health Care Utilization and Insurance).</t>
  </si>
  <si>
    <t>27. r4lsatsc3: Life satisfaction in Wave 4 (Section Q: Psychosocial).</t>
  </si>
  <si>
    <t>28. r4decsib: Number of deceased siblings in Wave 4 (Section G: Family Structure).</t>
  </si>
  <si>
    <t>29. r4painlv: Level of pain in Wave 4 (Section B: Health).</t>
  </si>
  <si>
    <t>30. r4cholst: Cholesterol level in Wave 4 (Section B: Health).</t>
  </si>
  <si>
    <t>31. r4tpamt: Total amount of private transfers received in Wave 4 (Section F: Income).</t>
  </si>
  <si>
    <t>32. r4igxfr: Intergenerational transfers in Wave 4 (Section G: Family Structure).</t>
  </si>
  <si>
    <t>33. r4arthre: Diagnosis of arthritis in Wave 4 (Section B: Health).</t>
  </si>
  <si>
    <t>34. r4respe: Diagnosis of respiratory diseases in Wave 4 (Section B: Health).</t>
  </si>
  <si>
    <t>35. r4vigact: Vigorous physical activity in Wave 4 (Section B: Health).</t>
  </si>
  <si>
    <t>36. r4gcaresckd_m: Frequency of caring for a sick or disabled adult in Wave 4 (Section L: Assistance and Caregiving).</t>
  </si>
  <si>
    <t>37. r4wakeup: Difficulty waking up in Wave 4 (Section B: Health).</t>
  </si>
  <si>
    <t>38. r4joga: Practice of yoga in Wave 4 (Section B: Health).</t>
  </si>
  <si>
    <t>39. r4socact_m: Social activities in Wave 4 (Section Q: Psychosocial).</t>
  </si>
  <si>
    <t>40. rafeduc_m: Father's education level (Section A: Demographics, Identifiers, and Weights).</t>
  </si>
  <si>
    <t>41. r4rxdiabi: Use of diabetes medication in Wave 4 (Section B: Health).</t>
  </si>
  <si>
    <t>42. r4enlife: Satisfaction with life in Wave 4 (Section Q: Psychosocial).</t>
  </si>
  <si>
    <t>43. r4iearn: Labor income in Wave 4 (Section F: Income).</t>
  </si>
  <si>
    <t>44. r4rested: Feeling rested in Wave 4 (Section B: Health).</t>
  </si>
  <si>
    <t>45. r4wakent: Time taken to wake up in Wave 4 (Section B: Health).</t>
  </si>
  <si>
    <t>46. r4dentim1y: Number of dentist visits in the last year in Wave 4 (Section C: Health Care Utilization and Insurance).</t>
  </si>
  <si>
    <t>47. rameduc_m: Mother's education level (Section A: Demographics, Identifiers, and Weights).</t>
  </si>
  <si>
    <t>48. r4rxdiabo: Use of diabetes medication in Wave 4 (Section B: Health).</t>
  </si>
  <si>
    <t>49. r4stoopa: Difficulty stooping in Wave 4 (Section B: Health).</t>
  </si>
  <si>
    <t>50. r4sleepr: Sleep quality in Wave 4 (Section B: Health).</t>
  </si>
  <si>
    <t>1. r4dadage: Edad del padre del encuestado en la ola 4 (Sección A: Demografía, Identificadores y Pesos).</t>
  </si>
  <si>
    <t>2. r4height: Altura del encuestado en la ola 4 (Sección K: Medidas Físicas).</t>
  </si>
  <si>
    <t>3. r4agey: Edad del encuestado en años en la ola 4 (Sección A: Demografía, Identificadores y Pesos).</t>
  </si>
  <si>
    <t>4. r4momage: Edad de la madre del encuestado en la ola 4 (Sección A: Demografía, Identificadores y Pesos).</t>
  </si>
  <si>
    <t>5. r4weight: Peso del encuestado en la ola 4 (Sección K: Medidas Físicas).</t>
  </si>
  <si>
    <t>6. r4wthh: Peso del hogar en la ola 4 (Sección A: Demografía, Identificadores y Pesos).</t>
  </si>
  <si>
    <t>7. r4doctim1y: Número de visitas al médico en el último año en la ola 4 (Sección C: Utilización de Servicios de Salud y Seguro).</t>
  </si>
  <si>
    <t>8. r4hosp1y: Número de hospitalizaciones en el último año en la ola 4 (Sección C: Utilización de Servicios de Salud y Seguro).</t>
  </si>
  <si>
    <t>9. r4wtresp: Peso del encuestado en la ola 4 (Sección A: Demografía, Identificadores y Pesos).</t>
  </si>
  <si>
    <t>10. r4hspnit1y: Número de noches en el hospital en el último año en la ola 4 (Sección C: Utilización de Servicios de Salud y Seguro).</t>
  </si>
  <si>
    <t>11. r4livsib: Número de hermanos vivos en la ola 4 (Sección G: Estructura Familiar).</t>
  </si>
  <si>
    <t>12. r4bmi: Índice de Masa Corporal (BMI) en la ola 4 (Sección K: Medidas Físicas).</t>
  </si>
  <si>
    <t>13. raevbrn: Número de hijos nacidos vivos (Sección G: Estructura Familiar).</t>
  </si>
  <si>
    <t>14. r4imrc8: Puntuación de memoria inmediata (8 ítems) en la ola 4 (Sección D: Cognición).</t>
  </si>
  <si>
    <t>15. r4vscan: Uso de escáner vascular en la ola 4 (Sección K: Medidas Físicas).</t>
  </si>
  <si>
    <t>16. r4slfmem: Autoevaluación de la memoria en la ola 4 (Sección D: Cognición).</t>
  </si>
  <si>
    <t>17. r4shlt: Autoevaluación de la salud en la ola 4 (Sección B: Salud).</t>
  </si>
  <si>
    <t>18. r4ipent: Ingreso total de pensiones públicas en la ola 4 (Sección F: Ingresos).</t>
  </si>
  <si>
    <t>19. r4verbf: Puntuación de fluidez verbal en la ola 4 (Sección D: Cognición).</t>
  </si>
  <si>
    <t>20. r4sight: Problemas de visión en la ola 4 (Sección B: Salud).</t>
  </si>
  <si>
    <t>21. r4rfcntx_m: Frecuencia de contacto con amigos y familiares en la ola 4 (Sección G: Estructura Familiar).</t>
  </si>
  <si>
    <t>22. r4hearing: Problemas de audición en la ola 4 (Sección B: Salud).</t>
  </si>
  <si>
    <t>23. r4ser7: Puntuación en la prueba de serie de 7 en la ola 4 (Sección D: Cognición).</t>
  </si>
  <si>
    <t>24. r4hltc: Cambio en la salud comparado con hace dos años en la ola 4 (Sección B: Salud).</t>
  </si>
  <si>
    <t>25. r4tr16: Puntuación de memoria retardada (16 ítems) en la ola 4 (Sección D: Cognición).</t>
  </si>
  <si>
    <t>26. r4oopmd1y: Gastos de bolsillo en atención médica en el último año en la ola 4 (Sección C: Utilización de Servicios de Salud y Seguro).</t>
  </si>
  <si>
    <t>27. r4lsatsc3: Satisfacción con la vida en la ola 4 (Sección Q: Psicosocial).</t>
  </si>
  <si>
    <t>28. r4decsib: Número de hermanos fallecidos en la ola 4 (Sección G: Estructura Familiar).</t>
  </si>
  <si>
    <t>29. r4painlv: Nivel de dolor en la ola 4 (Sección B: Salud).</t>
  </si>
  <si>
    <t>30. r4cholst: Nivel de colesterol en la ola 4 (Sección B: Salud).</t>
  </si>
  <si>
    <t>31. r4tpamt: Cantidad total de transferencias privadas recibidas en la ola 4 (Sección F: Ingresos).</t>
  </si>
  <si>
    <t>32. r4igxfr: Transferencias intergeneracionales en la ola 4 (Sección G: Estructura Familiar).</t>
  </si>
  <si>
    <t>33. r4arthre: Diagnóstico de artritis en la ola 4 (Sección B: Salud).</t>
  </si>
  <si>
    <t>34. r4respe: Diagnóstico de enfermedades respiratorias en la ola 4 (Sección B: Salud).</t>
  </si>
  <si>
    <t>35. r4vigact: Actividad física vigorosa en la ola 4 (Sección B: Salud).</t>
  </si>
  <si>
    <t>36. r4gcaresckd_m: Frecuencia con la que el encuestado cuida a un adulto enfermo o discapacitado en la ola 4 (Sección L: Asistencia y Cuidado).</t>
  </si>
  <si>
    <t>37. r4wakeup: Dificultad para despertarse en la ola 4 (Sección B: Salud).</t>
  </si>
  <si>
    <t>38. r4joga: Práctica de yoga en la ola 4 (Sección B: Salud).</t>
  </si>
  <si>
    <t>39. r4socact_m: Actividades sociales en la ola 4 (Sección Q: Psicosocial).</t>
  </si>
  <si>
    <t>40. rafeduc_m: Nivel educativo del padre del encuestado (Sección A: Demografía, Identificadores y Pesos).</t>
  </si>
  <si>
    <t>41. r4rxdiabi: Uso de medicamentos para la diabetes en la ola 4 (Sección B: Salud).</t>
  </si>
  <si>
    <t>42. r4enlife: Satisfacción con la vida en la ola 4 (Sección Q: Psicosocial).</t>
  </si>
  <si>
    <t>43. r4iearn: Ingresos laborales en la ola 4 (Sección F: Ingresos).</t>
  </si>
  <si>
    <t>44. r4rested: Sensación de descanso en la ola 4 (Sección B: Salud).</t>
  </si>
  <si>
    <t>45. r4wakent: Tiempo que tarda en despertarse en la ola 4 (Sección B: Salud).</t>
  </si>
  <si>
    <t>46. r4dentim1y: Número de visitas al dentista en el último año en la ola 4 (Sección C: Utilización de Servicios de Salud y Seguro).</t>
  </si>
  <si>
    <t>47. rameduc_m: Nivel educativo de la madre del encuestado (Sección A: Demografía, Identificadores y Pesos).</t>
  </si>
  <si>
    <t>48. r4rxdiabo: Uso de medicamentos para la diabetes en la ola 4 (Sección B: Salud).</t>
  </si>
  <si>
    <t>49. r4stoopa: Dificultad para agacharse en la ola 4 (Sección B: Salud).</t>
  </si>
  <si>
    <t>50. r4sleepr: Calidad del sueño en la ola 4 (Sección B: Salud).</t>
  </si>
  <si>
    <t>Delimitadores</t>
  </si>
  <si>
    <t>.-:-in Wave 4-(Section-).</t>
  </si>
  <si>
    <t>Title</t>
  </si>
  <si>
    <t>Id</t>
  </si>
  <si>
    <t>Field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</si>
</sst>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C91DD-5F58-4332-92C9-84C52B19E173}">
  <sheetPr codeName="Hoja2"/>
  <dimension ref="A1:I51"/>
  <sheetViews>
    <sheetView topLeftCell="B1" workbookViewId="0">
      <selection activeCell="D1" sqref="D1:D1048576"/>
    </sheetView>
  </sheetViews>
  <sheetFormatPr baseColWidth="10" defaultRowHeight="14.4" x14ac:dyDescent="0.3"/>
  <cols>
    <col min="2" max="2" width="101" bestFit="1" customWidth="1"/>
    <col min="5" max="5" width="39.109375" bestFit="1" customWidth="1"/>
  </cols>
  <sheetData>
    <row r="1" spans="1:9" x14ac:dyDescent="0.3">
      <c r="A1" t="s">
        <v>154</v>
      </c>
      <c r="B1" t="s">
        <v>153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 t="s">
        <v>155</v>
      </c>
    </row>
    <row r="2" spans="1:9" x14ac:dyDescent="0.3">
      <c r="A2">
        <v>1</v>
      </c>
      <c r="B2" t="s">
        <v>51</v>
      </c>
      <c r="C2" t="str" cm="1">
        <f t="array" ref="C2">SplitDels($B2,del,C$1)</f>
        <v>1</v>
      </c>
      <c r="D2" t="str" cm="1">
        <f t="array" ref="D2">SplitDels($B2,del,D$1)</f>
        <v>r4dadage</v>
      </c>
      <c r="E2" t="str" cm="1">
        <f t="array" ref="E2">SplitDels($B2,del,E$1)</f>
        <v>Age of the respondent's father</v>
      </c>
      <c r="F2" t="str" cm="1">
        <f t="array" ref="F2">SplitDels($B2,del,F$1)</f>
        <v/>
      </c>
      <c r="G2" t="str" cm="1">
        <f t="array" ref="G2">SplitDels($B2,del,G$1)</f>
        <v>A</v>
      </c>
      <c r="H2" t="str" cm="1">
        <f t="array" ref="H2">SplitDels($B2,del,H$1)</f>
        <v>Demographics, Identifiers, and Weights</v>
      </c>
      <c r="I2" t="str" cm="1">
        <f t="array" ref="I2">getField(D2,E2)</f>
        <v xml:space="preserve">{ "id": "r4dadage", "name": "Age of the respondent's father", "type": TYPE_FLOAT } , </v>
      </c>
    </row>
    <row r="3" spans="1:9" x14ac:dyDescent="0.3">
      <c r="A3">
        <v>3</v>
      </c>
      <c r="B3" t="s">
        <v>53</v>
      </c>
      <c r="C3" t="str" cm="1">
        <f t="array" ref="C3">SplitDels($B3,del,C$1)</f>
        <v>3</v>
      </c>
      <c r="D3" t="str" cm="1">
        <f t="array" ref="D3">SplitDels($B3,del,D$1)</f>
        <v>r4agey</v>
      </c>
      <c r="E3" t="str" cm="1">
        <f t="array" ref="E3">SplitDels($B3,del,E$1)</f>
        <v>Age of the respondent in years</v>
      </c>
      <c r="F3" t="str" cm="1">
        <f t="array" ref="F3">SplitDels($B3,del,F$1)</f>
        <v/>
      </c>
      <c r="G3" t="str" cm="1">
        <f t="array" ref="G3">SplitDels($B3,del,G$1)</f>
        <v>A</v>
      </c>
      <c r="H3" t="str" cm="1">
        <f t="array" ref="H3">SplitDels($B3,del,H$1)</f>
        <v>Demographics, Identifiers, and Weights</v>
      </c>
      <c r="I3" t="str" cm="1">
        <f t="array" ref="I3">getField(D3,E3)</f>
        <v xml:space="preserve">{ "id": "r4agey", "name": "Age of the respondent in years", "type": TYPE_FLOAT } , </v>
      </c>
    </row>
    <row r="4" spans="1:9" x14ac:dyDescent="0.3">
      <c r="A4">
        <v>4</v>
      </c>
      <c r="B4" t="s">
        <v>54</v>
      </c>
      <c r="C4" t="str" cm="1">
        <f t="array" ref="C4">SplitDels($B4,del,C$1)</f>
        <v>4</v>
      </c>
      <c r="D4" t="str" cm="1">
        <f t="array" ref="D4">SplitDels($B4,del,D$1)</f>
        <v>r4momage</v>
      </c>
      <c r="E4" t="str" cm="1">
        <f t="array" ref="E4">SplitDels($B4,del,E$1)</f>
        <v>Age of the respondent's mother</v>
      </c>
      <c r="F4" t="str" cm="1">
        <f t="array" ref="F4">SplitDels($B4,del,F$1)</f>
        <v/>
      </c>
      <c r="G4" t="str" cm="1">
        <f t="array" ref="G4">SplitDels($B4,del,G$1)</f>
        <v>A</v>
      </c>
      <c r="H4" t="str" cm="1">
        <f t="array" ref="H4">SplitDels($B4,del,H$1)</f>
        <v>Demographics, Identifiers, and Weights</v>
      </c>
      <c r="I4" t="str" cm="1">
        <f t="array" ref="I4">getField(D4,E4)</f>
        <v xml:space="preserve">{ "id": "r4momage", "name": "Age of the respondent's mother", "type": TYPE_FLOAT } , </v>
      </c>
    </row>
    <row r="5" spans="1:9" x14ac:dyDescent="0.3">
      <c r="A5">
        <v>6</v>
      </c>
      <c r="B5" t="s">
        <v>56</v>
      </c>
      <c r="C5" t="str" cm="1">
        <f t="array" ref="C5">SplitDels($B5,del,C$1)</f>
        <v>6</v>
      </c>
      <c r="D5" t="str" cm="1">
        <f t="array" ref="D5">SplitDels($B5,del,D$1)</f>
        <v>r4wthh</v>
      </c>
      <c r="E5" t="str" cm="1">
        <f t="array" ref="E5">SplitDels($B5,del,E$1)</f>
        <v>Household weight</v>
      </c>
      <c r="F5" t="str" cm="1">
        <f t="array" ref="F5">SplitDels($B5,del,F$1)</f>
        <v/>
      </c>
      <c r="G5" t="str" cm="1">
        <f t="array" ref="G5">SplitDels($B5,del,G$1)</f>
        <v>A</v>
      </c>
      <c r="H5" t="str" cm="1">
        <f t="array" ref="H5">SplitDels($B5,del,H$1)</f>
        <v>Demographics, Identifiers, and Weights</v>
      </c>
      <c r="I5" t="str" cm="1">
        <f t="array" ref="I5">getField(D5,E5)</f>
        <v xml:space="preserve">{ "id": "r4wthh", "name": "Household weight", "type": TYPE_FLOAT } , </v>
      </c>
    </row>
    <row r="6" spans="1:9" x14ac:dyDescent="0.3">
      <c r="A6">
        <v>9</v>
      </c>
      <c r="B6" t="s">
        <v>59</v>
      </c>
      <c r="C6" t="str" cm="1">
        <f t="array" ref="C6">SplitDels($B6,del,C$1)</f>
        <v>9</v>
      </c>
      <c r="D6" t="str" cm="1">
        <f t="array" ref="D6">SplitDels($B6,del,D$1)</f>
        <v>r4wtresp</v>
      </c>
      <c r="E6" t="str" cm="1">
        <f t="array" ref="E6">SplitDels($B6,del,E$1)</f>
        <v>Respondent weight</v>
      </c>
      <c r="F6" t="str" cm="1">
        <f t="array" ref="F6">SplitDels($B6,del,F$1)</f>
        <v/>
      </c>
      <c r="G6" t="str" cm="1">
        <f t="array" ref="G6">SplitDels($B6,del,G$1)</f>
        <v>A</v>
      </c>
      <c r="H6" t="str" cm="1">
        <f t="array" ref="H6">SplitDels($B6,del,H$1)</f>
        <v>Demographics, Identifiers, and Weights</v>
      </c>
      <c r="I6" t="str" cm="1">
        <f t="array" ref="I6">getField(D6,E6)</f>
        <v xml:space="preserve">{ "id": "r4wtresp", "name": "Respondent weight", "type": TYPE_FLOAT } , </v>
      </c>
    </row>
    <row r="7" spans="1:9" x14ac:dyDescent="0.3">
      <c r="A7">
        <v>40</v>
      </c>
      <c r="B7" t="s">
        <v>90</v>
      </c>
      <c r="C7" t="str" cm="1">
        <f t="array" ref="C7">SplitDels($B7,del,C$1)</f>
        <v>40</v>
      </c>
      <c r="D7" t="str" cm="1">
        <f t="array" ref="D7">SplitDels($B7,del,D$1)</f>
        <v>rafeduc_m</v>
      </c>
      <c r="E7" t="str" cm="1">
        <f t="array" ref="E7">SplitDels($B7,del,E$1)</f>
        <v>Father's education level</v>
      </c>
      <c r="G7" t="str" cm="1">
        <f t="array" ref="G7">SplitDels($B7,del,F$1)</f>
        <v>A</v>
      </c>
      <c r="H7" t="str" cm="1">
        <f t="array" ref="H7">SplitDels($B7,del,G$1)</f>
        <v>Demographics, Identifiers, and Weights</v>
      </c>
      <c r="I7" t="str" cm="1">
        <f t="array" ref="I7">getField(D7,E7)</f>
        <v xml:space="preserve">{ "id": "rafeduc_m", "name": "Father's education level", "type": TYPE_FLOAT } , </v>
      </c>
    </row>
    <row r="8" spans="1:9" x14ac:dyDescent="0.3">
      <c r="A8">
        <v>47</v>
      </c>
      <c r="B8" t="s">
        <v>97</v>
      </c>
      <c r="C8" t="str" cm="1">
        <f t="array" ref="C8">SplitDels($B8,del,C$1)</f>
        <v>47</v>
      </c>
      <c r="D8" t="str" cm="1">
        <f t="array" ref="D8">SplitDels($B8,del,D$1)</f>
        <v>rameduc_m</v>
      </c>
      <c r="E8" t="str" cm="1">
        <f t="array" ref="E8">SplitDels($B8,del,E$1)</f>
        <v>Mother's education level</v>
      </c>
      <c r="G8" t="str" cm="1">
        <f t="array" ref="G8">SplitDels($B8,del,F$1)</f>
        <v>A</v>
      </c>
      <c r="H8" t="str" cm="1">
        <f t="array" ref="H8">SplitDels($B8,del,G$1)</f>
        <v>Demographics, Identifiers, and Weights</v>
      </c>
      <c r="I8" t="str" cm="1">
        <f t="array" ref="I8">getField(D8,E8)</f>
        <v xml:space="preserve">{ "id": "rameduc_m", "name": "Mother's education level", "type": TYPE_FLOAT } , </v>
      </c>
    </row>
    <row r="9" spans="1:9" x14ac:dyDescent="0.3">
      <c r="A9">
        <v>17</v>
      </c>
      <c r="B9" t="s">
        <v>67</v>
      </c>
      <c r="C9" t="str" cm="1">
        <f t="array" ref="C9">SplitDels($B9,del,C$1)</f>
        <v>17</v>
      </c>
      <c r="D9" t="str" cm="1">
        <f t="array" ref="D9">SplitDels($B9,del,D$1)</f>
        <v>r4shlt</v>
      </c>
      <c r="E9" t="str" cm="1">
        <f t="array" ref="E9">SplitDels($B9,del,E$1)</f>
        <v>Self-reported health</v>
      </c>
      <c r="F9" t="str" cm="1">
        <f t="array" ref="F9">SplitDels($B9,del,F$1)</f>
        <v/>
      </c>
      <c r="G9" t="str" cm="1">
        <f t="array" ref="G9">SplitDels($B9,del,G$1)</f>
        <v>B</v>
      </c>
      <c r="H9" t="str" cm="1">
        <f t="array" ref="H9">SplitDels($B9,del,H$1)</f>
        <v>Health</v>
      </c>
      <c r="I9" t="str" cm="1">
        <f t="array" ref="I9">getField(D9,E9)</f>
        <v xml:space="preserve">{ "id": "r4shlt", "name": "Self-reported health", "type": TYPE_FLOAT } , </v>
      </c>
    </row>
    <row r="10" spans="1:9" x14ac:dyDescent="0.3">
      <c r="A10">
        <v>20</v>
      </c>
      <c r="B10" t="s">
        <v>70</v>
      </c>
      <c r="C10" t="str" cm="1">
        <f t="array" ref="C10">SplitDels($B10,del,C$1)</f>
        <v>20</v>
      </c>
      <c r="D10" t="str" cm="1">
        <f t="array" ref="D10">SplitDels($B10,del,D$1)</f>
        <v>r4sight</v>
      </c>
      <c r="E10" t="str" cm="1">
        <f t="array" ref="E10">SplitDels($B10,del,E$1)</f>
        <v>Vision problems</v>
      </c>
      <c r="F10" t="str" cm="1">
        <f t="array" ref="F10">SplitDels($B10,del,F$1)</f>
        <v/>
      </c>
      <c r="G10" t="str" cm="1">
        <f t="array" ref="G10">SplitDels($B10,del,G$1)</f>
        <v>B</v>
      </c>
      <c r="H10" t="str" cm="1">
        <f t="array" ref="H10">SplitDels($B10,del,H$1)</f>
        <v>Health</v>
      </c>
      <c r="I10" t="str" cm="1">
        <f t="array" ref="I10">getField(D10,E10)</f>
        <v xml:space="preserve">{ "id": "r4sight", "name": "Vision problems", "type": TYPE_FLOAT } , </v>
      </c>
    </row>
    <row r="11" spans="1:9" x14ac:dyDescent="0.3">
      <c r="A11">
        <v>22</v>
      </c>
      <c r="B11" t="s">
        <v>72</v>
      </c>
      <c r="C11" t="str" cm="1">
        <f t="array" ref="C11">SplitDels($B11,del,C$1)</f>
        <v>22</v>
      </c>
      <c r="D11" t="str" cm="1">
        <f t="array" ref="D11">SplitDels($B11,del,D$1)</f>
        <v>r4hearing</v>
      </c>
      <c r="E11" t="str" cm="1">
        <f t="array" ref="E11">SplitDels($B11,del,E$1)</f>
        <v>Hearing problems</v>
      </c>
      <c r="F11" t="str" cm="1">
        <f t="array" ref="F11">SplitDels($B11,del,F$1)</f>
        <v/>
      </c>
      <c r="G11" t="str" cm="1">
        <f t="array" ref="G11">SplitDels($B11,del,G$1)</f>
        <v>B</v>
      </c>
      <c r="H11" t="str" cm="1">
        <f t="array" ref="H11">SplitDels($B11,del,H$1)</f>
        <v>Health</v>
      </c>
      <c r="I11" t="str" cm="1">
        <f t="array" ref="I11">getField(D11,E11)</f>
        <v xml:space="preserve">{ "id": "r4hearing", "name": "Hearing problems", "type": TYPE_FLOAT } , </v>
      </c>
    </row>
    <row r="12" spans="1:9" x14ac:dyDescent="0.3">
      <c r="A12">
        <v>24</v>
      </c>
      <c r="B12" t="s">
        <v>74</v>
      </c>
      <c r="C12" t="str" cm="1">
        <f t="array" ref="C12">SplitDels($B12,del,C$1)</f>
        <v>24</v>
      </c>
      <c r="D12" t="str" cm="1">
        <f t="array" ref="D12">SplitDels($B12,del,D$1)</f>
        <v>r4hltc</v>
      </c>
      <c r="E12" t="str" cm="1">
        <f t="array" ref="E12">SplitDels($B12,del,E$1)</f>
        <v>Change in health compared to two years ago</v>
      </c>
      <c r="F12" t="str" cm="1">
        <f t="array" ref="F12">SplitDels($B12,del,F$1)</f>
        <v/>
      </c>
      <c r="G12" t="str" cm="1">
        <f t="array" ref="G12">SplitDels($B12,del,G$1)</f>
        <v>B</v>
      </c>
      <c r="H12" t="str" cm="1">
        <f t="array" ref="H12">SplitDels($B12,del,H$1)</f>
        <v>Health</v>
      </c>
      <c r="I12" t="str" cm="1">
        <f t="array" ref="I12">getField(D12,E12)</f>
        <v xml:space="preserve">{ "id": "r4hltc", "name": "Change in health compared to two years ago", "type": TYPE_FLOAT } , </v>
      </c>
    </row>
    <row r="13" spans="1:9" x14ac:dyDescent="0.3">
      <c r="A13">
        <v>29</v>
      </c>
      <c r="B13" t="s">
        <v>79</v>
      </c>
      <c r="C13" t="str" cm="1">
        <f t="array" ref="C13">SplitDels($B13,del,C$1)</f>
        <v>29</v>
      </c>
      <c r="D13" t="str" cm="1">
        <f t="array" ref="D13">SplitDels($B13,del,D$1)</f>
        <v>r4painlv</v>
      </c>
      <c r="E13" t="str" cm="1">
        <f t="array" ref="E13">SplitDels($B13,del,E$1)</f>
        <v>Level of pain</v>
      </c>
      <c r="F13" t="str" cm="1">
        <f t="array" ref="F13">SplitDels($B13,del,F$1)</f>
        <v/>
      </c>
      <c r="G13" t="str" cm="1">
        <f t="array" ref="G13">SplitDels($B13,del,G$1)</f>
        <v>B</v>
      </c>
      <c r="H13" t="str" cm="1">
        <f t="array" ref="H13">SplitDels($B13,del,H$1)</f>
        <v>Health</v>
      </c>
      <c r="I13" t="str" cm="1">
        <f t="array" ref="I13">getField(D13,E13)</f>
        <v xml:space="preserve">{ "id": "r4painlv", "name": "Level of pain", "type": TYPE_FLOAT } , </v>
      </c>
    </row>
    <row r="14" spans="1:9" x14ac:dyDescent="0.3">
      <c r="A14">
        <v>30</v>
      </c>
      <c r="B14" t="s">
        <v>80</v>
      </c>
      <c r="C14" t="str" cm="1">
        <f t="array" ref="C14">SplitDels($B14,del,C$1)</f>
        <v>30</v>
      </c>
      <c r="D14" t="str" cm="1">
        <f t="array" ref="D14">SplitDels($B14,del,D$1)</f>
        <v>r4cholst</v>
      </c>
      <c r="E14" t="str" cm="1">
        <f t="array" ref="E14">SplitDels($B14,del,E$1)</f>
        <v>Cholesterol level</v>
      </c>
      <c r="F14" t="str" cm="1">
        <f t="array" ref="F14">SplitDels($B14,del,F$1)</f>
        <v/>
      </c>
      <c r="G14" t="str" cm="1">
        <f t="array" ref="G14">SplitDels($B14,del,G$1)</f>
        <v>B</v>
      </c>
      <c r="H14" t="str" cm="1">
        <f t="array" ref="H14">SplitDels($B14,del,H$1)</f>
        <v>Health</v>
      </c>
      <c r="I14" t="str" cm="1">
        <f t="array" ref="I14">getField(D14,E14)</f>
        <v xml:space="preserve">{ "id": "r4cholst", "name": "Cholesterol level", "type": TYPE_FLOAT } , </v>
      </c>
    </row>
    <row r="15" spans="1:9" x14ac:dyDescent="0.3">
      <c r="A15">
        <v>33</v>
      </c>
      <c r="B15" t="s">
        <v>83</v>
      </c>
      <c r="C15" t="str" cm="1">
        <f t="array" ref="C15">SplitDels($B15,del,C$1)</f>
        <v>33</v>
      </c>
      <c r="D15" t="str" cm="1">
        <f t="array" ref="D15">SplitDels($B15,del,D$1)</f>
        <v>r4arthre</v>
      </c>
      <c r="E15" t="str" cm="1">
        <f t="array" ref="E15">SplitDels($B15,del,E$1)</f>
        <v>Diagnosis of arthritis</v>
      </c>
      <c r="F15" t="str" cm="1">
        <f t="array" ref="F15">SplitDels($B15,del,F$1)</f>
        <v/>
      </c>
      <c r="G15" t="str" cm="1">
        <f t="array" ref="G15">SplitDels($B15,del,G$1)</f>
        <v>B</v>
      </c>
      <c r="H15" t="str" cm="1">
        <f t="array" ref="H15">SplitDels($B15,del,H$1)</f>
        <v>Health</v>
      </c>
      <c r="I15" t="str" cm="1">
        <f t="array" ref="I15">getField(D15,E15)</f>
        <v xml:space="preserve">{ "id": "r4arthre", "name": "Diagnosis of arthritis", "type": TYPE_FLOAT } , </v>
      </c>
    </row>
    <row r="16" spans="1:9" x14ac:dyDescent="0.3">
      <c r="A16">
        <v>34</v>
      </c>
      <c r="B16" t="s">
        <v>84</v>
      </c>
      <c r="C16" t="str" cm="1">
        <f t="array" ref="C16">SplitDels($B16,del,C$1)</f>
        <v>34</v>
      </c>
      <c r="D16" t="str" cm="1">
        <f t="array" ref="D16">SplitDels($B16,del,D$1)</f>
        <v>r4respe</v>
      </c>
      <c r="E16" t="str" cm="1">
        <f t="array" ref="E16">SplitDels($B16,del,E$1)</f>
        <v>Diagnosis of respiratory diseases</v>
      </c>
      <c r="F16" t="str" cm="1">
        <f t="array" ref="F16">SplitDels($B16,del,F$1)</f>
        <v/>
      </c>
      <c r="G16" t="str" cm="1">
        <f t="array" ref="G16">SplitDels($B16,del,G$1)</f>
        <v>B</v>
      </c>
      <c r="H16" t="str" cm="1">
        <f t="array" ref="H16">SplitDels($B16,del,H$1)</f>
        <v>Health</v>
      </c>
      <c r="I16" t="str" cm="1">
        <f t="array" ref="I16">getField(D16,E16)</f>
        <v xml:space="preserve">{ "id": "r4respe", "name": "Diagnosis of respiratory diseases", "type": TYPE_FLOAT } , </v>
      </c>
    </row>
    <row r="17" spans="1:9" x14ac:dyDescent="0.3">
      <c r="A17">
        <v>35</v>
      </c>
      <c r="B17" t="s">
        <v>85</v>
      </c>
      <c r="C17" t="str" cm="1">
        <f t="array" ref="C17">SplitDels($B17,del,C$1)</f>
        <v>35</v>
      </c>
      <c r="D17" t="str" cm="1">
        <f t="array" ref="D17">SplitDels($B17,del,D$1)</f>
        <v>r4vigact</v>
      </c>
      <c r="E17" t="str" cm="1">
        <f t="array" ref="E17">SplitDels($B17,del,E$1)</f>
        <v>Vigorous physical activity</v>
      </c>
      <c r="F17" t="str" cm="1">
        <f t="array" ref="F17">SplitDels($B17,del,F$1)</f>
        <v/>
      </c>
      <c r="G17" t="str" cm="1">
        <f t="array" ref="G17">SplitDels($B17,del,G$1)</f>
        <v>B</v>
      </c>
      <c r="H17" t="str" cm="1">
        <f t="array" ref="H17">SplitDels($B17,del,H$1)</f>
        <v>Health</v>
      </c>
      <c r="I17" t="str" cm="1">
        <f t="array" ref="I17">getField(D17,E17)</f>
        <v xml:space="preserve">{ "id": "r4vigact", "name": "Vigorous physical activity", "type": TYPE_FLOAT } , </v>
      </c>
    </row>
    <row r="18" spans="1:9" x14ac:dyDescent="0.3">
      <c r="A18">
        <v>37</v>
      </c>
      <c r="B18" t="s">
        <v>87</v>
      </c>
      <c r="C18" t="str" cm="1">
        <f t="array" ref="C18">SplitDels($B18,del,C$1)</f>
        <v>37</v>
      </c>
      <c r="D18" t="str" cm="1">
        <f t="array" ref="D18">SplitDels($B18,del,D$1)</f>
        <v>r4wakeup</v>
      </c>
      <c r="E18" t="str" cm="1">
        <f t="array" ref="E18">SplitDels($B18,del,E$1)</f>
        <v>Difficulty waking up</v>
      </c>
      <c r="F18" t="str" cm="1">
        <f t="array" ref="F18">SplitDels($B18,del,F$1)</f>
        <v/>
      </c>
      <c r="G18" t="str" cm="1">
        <f t="array" ref="G18">SplitDels($B18,del,G$1)</f>
        <v>B</v>
      </c>
      <c r="H18" t="str" cm="1">
        <f t="array" ref="H18">SplitDels($B18,del,H$1)</f>
        <v>Health</v>
      </c>
      <c r="I18" t="str" cm="1">
        <f t="array" ref="I18">getField(D18,E18)</f>
        <v xml:space="preserve">{ "id": "r4wakeup", "name": "Difficulty waking up", "type": TYPE_FLOAT } , </v>
      </c>
    </row>
    <row r="19" spans="1:9" x14ac:dyDescent="0.3">
      <c r="A19">
        <v>38</v>
      </c>
      <c r="B19" t="s">
        <v>88</v>
      </c>
      <c r="C19" t="str" cm="1">
        <f t="array" ref="C19">SplitDels($B19,del,C$1)</f>
        <v>38</v>
      </c>
      <c r="D19" t="str" cm="1">
        <f t="array" ref="D19">SplitDels($B19,del,D$1)</f>
        <v>r4joga</v>
      </c>
      <c r="E19" t="str" cm="1">
        <f t="array" ref="E19">SplitDels($B19,del,E$1)</f>
        <v>Practice of yoga</v>
      </c>
      <c r="F19" t="str" cm="1">
        <f t="array" ref="F19">SplitDels($B19,del,F$1)</f>
        <v/>
      </c>
      <c r="G19" t="str" cm="1">
        <f t="array" ref="G19">SplitDels($B19,del,G$1)</f>
        <v>B</v>
      </c>
      <c r="H19" t="str" cm="1">
        <f t="array" ref="H19">SplitDels($B19,del,H$1)</f>
        <v>Health</v>
      </c>
      <c r="I19" t="str" cm="1">
        <f t="array" ref="I19">getField(D19,E19)</f>
        <v xml:space="preserve">{ "id": "r4joga", "name": "Practice of yoga", "type": TYPE_FLOAT } , </v>
      </c>
    </row>
    <row r="20" spans="1:9" x14ac:dyDescent="0.3">
      <c r="A20">
        <v>41</v>
      </c>
      <c r="B20" t="s">
        <v>91</v>
      </c>
      <c r="C20" t="str" cm="1">
        <f t="array" ref="C20">SplitDels($B20,del,C$1)</f>
        <v>41</v>
      </c>
      <c r="D20" t="str" cm="1">
        <f t="array" ref="D20">SplitDels($B20,del,D$1)</f>
        <v>r4rxdiabi</v>
      </c>
      <c r="E20" t="str" cm="1">
        <f t="array" ref="E20">SplitDels($B20,del,E$1)</f>
        <v>Use of diabetes medication</v>
      </c>
      <c r="F20" t="str" cm="1">
        <f t="array" ref="F20">SplitDels($B20,del,F$1)</f>
        <v/>
      </c>
      <c r="G20" t="str" cm="1">
        <f t="array" ref="G20">SplitDels($B20,del,G$1)</f>
        <v>B</v>
      </c>
      <c r="H20" t="str" cm="1">
        <f t="array" ref="H20">SplitDels($B20,del,H$1)</f>
        <v>Health</v>
      </c>
      <c r="I20" t="str" cm="1">
        <f t="array" ref="I20">getField(D20,E20)</f>
        <v xml:space="preserve">{ "id": "r4rxdiabi", "name": "Use of diabetes medication", "type": TYPE_FLOAT } , </v>
      </c>
    </row>
    <row r="21" spans="1:9" x14ac:dyDescent="0.3">
      <c r="A21">
        <v>44</v>
      </c>
      <c r="B21" t="s">
        <v>94</v>
      </c>
      <c r="C21" t="str" cm="1">
        <f t="array" ref="C21">SplitDels($B21,del,C$1)</f>
        <v>44</v>
      </c>
      <c r="D21" t="str" cm="1">
        <f t="array" ref="D21">SplitDels($B21,del,D$1)</f>
        <v>r4rested</v>
      </c>
      <c r="E21" t="str" cm="1">
        <f t="array" ref="E21">SplitDels($B21,del,E$1)</f>
        <v>Feeling rested</v>
      </c>
      <c r="F21" t="str" cm="1">
        <f t="array" ref="F21">SplitDels($B21,del,F$1)</f>
        <v/>
      </c>
      <c r="G21" t="str" cm="1">
        <f t="array" ref="G21">SplitDels($B21,del,G$1)</f>
        <v>B</v>
      </c>
      <c r="H21" t="str" cm="1">
        <f t="array" ref="H21">SplitDels($B21,del,H$1)</f>
        <v>Health</v>
      </c>
      <c r="I21" t="str" cm="1">
        <f t="array" ref="I21">getField(D21,E21)</f>
        <v xml:space="preserve">{ "id": "r4rested", "name": "Feeling rested", "type": TYPE_FLOAT } , </v>
      </c>
    </row>
    <row r="22" spans="1:9" x14ac:dyDescent="0.3">
      <c r="A22">
        <v>45</v>
      </c>
      <c r="B22" t="s">
        <v>95</v>
      </c>
      <c r="C22" t="str" cm="1">
        <f t="array" ref="C22">SplitDels($B22,del,C$1)</f>
        <v>45</v>
      </c>
      <c r="D22" t="str" cm="1">
        <f t="array" ref="D22">SplitDels($B22,del,D$1)</f>
        <v>r4wakent</v>
      </c>
      <c r="E22" t="str" cm="1">
        <f t="array" ref="E22">SplitDels($B22,del,E$1)</f>
        <v>Time taken to wake up</v>
      </c>
      <c r="F22" t="str" cm="1">
        <f t="array" ref="F22">SplitDels($B22,del,F$1)</f>
        <v/>
      </c>
      <c r="G22" t="str" cm="1">
        <f t="array" ref="G22">SplitDels($B22,del,G$1)</f>
        <v>B</v>
      </c>
      <c r="H22" t="str" cm="1">
        <f t="array" ref="H22">SplitDels($B22,del,H$1)</f>
        <v>Health</v>
      </c>
      <c r="I22" t="str" cm="1">
        <f t="array" ref="I22">getField(D22,E22)</f>
        <v xml:space="preserve">{ "id": "r4wakent", "name": "Time taken to wake up", "type": TYPE_FLOAT } , </v>
      </c>
    </row>
    <row r="23" spans="1:9" x14ac:dyDescent="0.3">
      <c r="A23">
        <v>48</v>
      </c>
      <c r="B23" t="s">
        <v>98</v>
      </c>
      <c r="C23" t="str" cm="1">
        <f t="array" ref="C23">SplitDels($B23,del,C$1)</f>
        <v>48</v>
      </c>
      <c r="D23" t="str" cm="1">
        <f t="array" ref="D23">SplitDels($B23,del,D$1)</f>
        <v>r4rxdiabo</v>
      </c>
      <c r="E23" t="str" cm="1">
        <f t="array" ref="E23">SplitDels($B23,del,E$1)</f>
        <v>Use of diabetes medication</v>
      </c>
      <c r="F23" t="str" cm="1">
        <f t="array" ref="F23">SplitDels($B23,del,F$1)</f>
        <v/>
      </c>
      <c r="G23" t="str" cm="1">
        <f t="array" ref="G23">SplitDels($B23,del,G$1)</f>
        <v>B</v>
      </c>
      <c r="H23" t="str" cm="1">
        <f t="array" ref="H23">SplitDels($B23,del,H$1)</f>
        <v>Health</v>
      </c>
      <c r="I23" t="str" cm="1">
        <f t="array" ref="I23">getField(D23,E23)</f>
        <v xml:space="preserve">{ "id": "r4rxdiabo", "name": "Use of diabetes medication", "type": TYPE_FLOAT } , </v>
      </c>
    </row>
    <row r="24" spans="1:9" x14ac:dyDescent="0.3">
      <c r="A24">
        <v>49</v>
      </c>
      <c r="B24" t="s">
        <v>99</v>
      </c>
      <c r="C24" t="str" cm="1">
        <f t="array" ref="C24">SplitDels($B24,del,C$1)</f>
        <v>49</v>
      </c>
      <c r="D24" t="str" cm="1">
        <f t="array" ref="D24">SplitDels($B24,del,D$1)</f>
        <v>r4stoopa</v>
      </c>
      <c r="E24" t="str" cm="1">
        <f t="array" ref="E24">SplitDels($B24,del,E$1)</f>
        <v>Difficulty stooping</v>
      </c>
      <c r="F24" t="str" cm="1">
        <f t="array" ref="F24">SplitDels($B24,del,F$1)</f>
        <v/>
      </c>
      <c r="G24" t="str" cm="1">
        <f t="array" ref="G24">SplitDels($B24,del,G$1)</f>
        <v>B</v>
      </c>
      <c r="H24" t="str" cm="1">
        <f t="array" ref="H24">SplitDels($B24,del,H$1)</f>
        <v>Health</v>
      </c>
      <c r="I24" t="str" cm="1">
        <f t="array" ref="I24">getField(D24,E24)</f>
        <v xml:space="preserve">{ "id": "r4stoopa", "name": "Difficulty stooping", "type": TYPE_FLOAT } , </v>
      </c>
    </row>
    <row r="25" spans="1:9" x14ac:dyDescent="0.3">
      <c r="A25">
        <v>50</v>
      </c>
      <c r="B25" t="s">
        <v>100</v>
      </c>
      <c r="C25" t="str" cm="1">
        <f t="array" ref="C25">SplitDels($B25,del,C$1)</f>
        <v>50</v>
      </c>
      <c r="D25" t="str" cm="1">
        <f t="array" ref="D25">SplitDels($B25,del,D$1)</f>
        <v>r4sleepr</v>
      </c>
      <c r="E25" t="str" cm="1">
        <f t="array" ref="E25">SplitDels($B25,del,E$1)</f>
        <v>Sleep quality</v>
      </c>
      <c r="F25" t="str" cm="1">
        <f t="array" ref="F25">SplitDels($B25,del,F$1)</f>
        <v/>
      </c>
      <c r="G25" t="str" cm="1">
        <f t="array" ref="G25">SplitDels($B25,del,G$1)</f>
        <v>B</v>
      </c>
      <c r="H25" t="str" cm="1">
        <f t="array" ref="H25">SplitDels($B25,del,H$1)</f>
        <v>Health</v>
      </c>
      <c r="I25" t="str" cm="1">
        <f t="array" ref="I25">getField(D25,E25)</f>
        <v xml:space="preserve">{ "id": "r4sleepr", "name": "Sleep quality", "type": TYPE_FLOAT } , </v>
      </c>
    </row>
    <row r="26" spans="1:9" x14ac:dyDescent="0.3">
      <c r="A26">
        <v>7</v>
      </c>
      <c r="B26" t="s">
        <v>57</v>
      </c>
      <c r="C26" t="str" cm="1">
        <f t="array" ref="C26">SplitDels($B26,del,C$1)</f>
        <v>7</v>
      </c>
      <c r="D26" t="str" cm="1">
        <f t="array" ref="D26">SplitDels($B26,del,D$1)</f>
        <v>r4doctim1y</v>
      </c>
      <c r="E26" t="str" cm="1">
        <f t="array" ref="E26">SplitDels($B26,del,E$1)</f>
        <v>Number of doctor visits in the last year</v>
      </c>
      <c r="F26" t="str" cm="1">
        <f t="array" ref="F26">SplitDels($B26,del,F$1)</f>
        <v/>
      </c>
      <c r="G26" t="str" cm="1">
        <f t="array" ref="G26">SplitDels($B26,del,G$1)</f>
        <v>C</v>
      </c>
      <c r="H26" t="str" cm="1">
        <f t="array" ref="H26">SplitDels($B26,del,H$1)</f>
        <v>Health Care Utilization and Insurance</v>
      </c>
      <c r="I26" t="str" cm="1">
        <f t="array" ref="I26">getField(D26,E26)</f>
        <v xml:space="preserve">{ "id": "r4doctim1y", "name": "Number of doctor visits in the last year", "type": TYPE_FLOAT } , </v>
      </c>
    </row>
    <row r="27" spans="1:9" x14ac:dyDescent="0.3">
      <c r="A27">
        <v>8</v>
      </c>
      <c r="B27" t="s">
        <v>58</v>
      </c>
      <c r="C27" t="str" cm="1">
        <f t="array" ref="C27">SplitDels($B27,del,C$1)</f>
        <v>8</v>
      </c>
      <c r="D27" t="str" cm="1">
        <f t="array" ref="D27">SplitDels($B27,del,D$1)</f>
        <v>r4hosp1y</v>
      </c>
      <c r="E27" t="str" cm="1">
        <f t="array" ref="E27">SplitDels($B27,del,E$1)</f>
        <v>Number of hospitalizations in the last year</v>
      </c>
      <c r="F27" t="str" cm="1">
        <f t="array" ref="F27">SplitDels($B27,del,F$1)</f>
        <v/>
      </c>
      <c r="G27" t="str" cm="1">
        <f t="array" ref="G27">SplitDels($B27,del,G$1)</f>
        <v>C</v>
      </c>
      <c r="H27" t="str" cm="1">
        <f t="array" ref="H27">SplitDels($B27,del,H$1)</f>
        <v>Health Care Utilization and Insurance</v>
      </c>
      <c r="I27" t="str" cm="1">
        <f t="array" ref="I27">getField(D27,E27)</f>
        <v xml:space="preserve">{ "id": "r4hosp1y", "name": "Number of hospitalizations in the last year", "type": TYPE_FLOAT } , </v>
      </c>
    </row>
    <row r="28" spans="1:9" x14ac:dyDescent="0.3">
      <c r="A28">
        <v>10</v>
      </c>
      <c r="B28" t="s">
        <v>60</v>
      </c>
      <c r="C28" t="str" cm="1">
        <f t="array" ref="C28">SplitDels($B28,del,C$1)</f>
        <v>10</v>
      </c>
      <c r="D28" t="str" cm="1">
        <f t="array" ref="D28">SplitDels($B28,del,D$1)</f>
        <v>r4hspnit1y</v>
      </c>
      <c r="E28" t="str" cm="1">
        <f t="array" ref="E28">SplitDels($B28,del,E$1)</f>
        <v>Number of nights in the hospital in the last year</v>
      </c>
      <c r="F28" t="str" cm="1">
        <f t="array" ref="F28">SplitDels($B28,del,F$1)</f>
        <v/>
      </c>
      <c r="G28" t="str" cm="1">
        <f t="array" ref="G28">SplitDels($B28,del,G$1)</f>
        <v>C</v>
      </c>
      <c r="H28" t="str" cm="1">
        <f t="array" ref="H28">SplitDels($B28,del,H$1)</f>
        <v>Health Care Utilization and Insurance</v>
      </c>
      <c r="I28" t="str" cm="1">
        <f t="array" ref="I28">getField(D28,E28)</f>
        <v xml:space="preserve">{ "id": "r4hspnit1y", "name": "Number of nights in the hospital in the last year", "type": TYPE_FLOAT } , </v>
      </c>
    </row>
    <row r="29" spans="1:9" x14ac:dyDescent="0.3">
      <c r="A29">
        <v>26</v>
      </c>
      <c r="B29" t="s">
        <v>76</v>
      </c>
      <c r="C29" t="str" cm="1">
        <f t="array" ref="C29">SplitDels($B29,del,C$1)</f>
        <v>26</v>
      </c>
      <c r="D29" t="str" cm="1">
        <f t="array" ref="D29">SplitDels($B29,del,D$1)</f>
        <v>r4oopmd1y</v>
      </c>
      <c r="E29" t="str" cm="1">
        <f t="array" ref="E29">SplitDels($B29,del,E$1)</f>
        <v>Out-of-pocket medical expenses in the last year</v>
      </c>
      <c r="F29" t="str" cm="1">
        <f t="array" ref="F29">SplitDels($B29,del,F$1)</f>
        <v/>
      </c>
      <c r="G29" t="str" cm="1">
        <f t="array" ref="G29">SplitDels($B29,del,G$1)</f>
        <v>C</v>
      </c>
      <c r="H29" t="str" cm="1">
        <f t="array" ref="H29">SplitDels($B29,del,H$1)</f>
        <v>Health Care Utilization and Insurance</v>
      </c>
      <c r="I29" t="str" cm="1">
        <f t="array" ref="I29">getField(D29,E29)</f>
        <v xml:space="preserve">{ "id": "r4oopmd1y", "name": "Out-of-pocket medical expenses in the last year", "type": TYPE_FLOAT } , </v>
      </c>
    </row>
    <row r="30" spans="1:9" x14ac:dyDescent="0.3">
      <c r="A30">
        <v>46</v>
      </c>
      <c r="B30" t="s">
        <v>96</v>
      </c>
      <c r="C30" t="str" cm="1">
        <f t="array" ref="C30">SplitDels($B30,del,C$1)</f>
        <v>46</v>
      </c>
      <c r="D30" t="str" cm="1">
        <f t="array" ref="D30">SplitDels($B30,del,D$1)</f>
        <v>r4dentim1y</v>
      </c>
      <c r="E30" t="str" cm="1">
        <f t="array" ref="E30">SplitDels($B30,del,E$1)</f>
        <v>Number of dentist visits in the last year</v>
      </c>
      <c r="F30" t="str" cm="1">
        <f t="array" ref="F30">SplitDels($B30,del,F$1)</f>
        <v/>
      </c>
      <c r="G30" t="str" cm="1">
        <f t="array" ref="G30">SplitDels($B30,del,G$1)</f>
        <v>C</v>
      </c>
      <c r="H30" t="str" cm="1">
        <f t="array" ref="H30">SplitDels($B30,del,H$1)</f>
        <v>Health Care Utilization and Insurance</v>
      </c>
      <c r="I30" t="str" cm="1">
        <f t="array" ref="I30">getField(D30,E30)</f>
        <v xml:space="preserve">{ "id": "r4dentim1y", "name": "Number of dentist visits in the last year", "type": TYPE_FLOAT } , </v>
      </c>
    </row>
    <row r="31" spans="1:9" x14ac:dyDescent="0.3">
      <c r="A31">
        <v>14</v>
      </c>
      <c r="B31" t="s">
        <v>64</v>
      </c>
      <c r="C31" t="str" cm="1">
        <f t="array" ref="C31">SplitDels($B31,del,C$1)</f>
        <v>14</v>
      </c>
      <c r="D31" t="str" cm="1">
        <f t="array" ref="D31">SplitDels($B31,del,D$1)</f>
        <v>r4imrc8</v>
      </c>
      <c r="E31" t="str" cm="1">
        <f t="array" ref="E31">SplitDels($B31,del,E$1)</f>
        <v>Immediate recall score (8 items)</v>
      </c>
      <c r="F31" t="str" cm="1">
        <f t="array" ref="F31">SplitDels($B31,del,F$1)</f>
        <v/>
      </c>
      <c r="G31" t="str" cm="1">
        <f t="array" ref="G31">SplitDels($B31,del,G$1)</f>
        <v>D</v>
      </c>
      <c r="H31" t="str" cm="1">
        <f t="array" ref="H31">SplitDels($B31,del,H$1)</f>
        <v>Cognition</v>
      </c>
      <c r="I31" t="str" cm="1">
        <f t="array" ref="I31">getField(D31,E31)</f>
        <v xml:space="preserve">{ "id": "r4imrc8", "name": "Immediate recall score (8 items)", "type": TYPE_FLOAT } , </v>
      </c>
    </row>
    <row r="32" spans="1:9" x14ac:dyDescent="0.3">
      <c r="A32">
        <v>16</v>
      </c>
      <c r="B32" t="s">
        <v>66</v>
      </c>
      <c r="C32" t="str" cm="1">
        <f t="array" ref="C32">SplitDels($B32,del,C$1)</f>
        <v>16</v>
      </c>
      <c r="D32" t="str" cm="1">
        <f t="array" ref="D32">SplitDels($B32,del,D$1)</f>
        <v>r4slfmem</v>
      </c>
      <c r="E32" t="str" cm="1">
        <f t="array" ref="E32">SplitDels($B32,del,E$1)</f>
        <v>Self-reported memory</v>
      </c>
      <c r="F32" t="str" cm="1">
        <f t="array" ref="F32">SplitDels($B32,del,F$1)</f>
        <v/>
      </c>
      <c r="G32" t="str" cm="1">
        <f t="array" ref="G32">SplitDels($B32,del,G$1)</f>
        <v>D</v>
      </c>
      <c r="H32" t="str" cm="1">
        <f t="array" ref="H32">SplitDels($B32,del,H$1)</f>
        <v>Cognition</v>
      </c>
      <c r="I32" t="str" cm="1">
        <f t="array" ref="I32">getField(D32,E32)</f>
        <v xml:space="preserve">{ "id": "r4slfmem", "name": "Self-reported memory", "type": TYPE_FLOAT } , </v>
      </c>
    </row>
    <row r="33" spans="1:9" x14ac:dyDescent="0.3">
      <c r="A33">
        <v>19</v>
      </c>
      <c r="B33" t="s">
        <v>69</v>
      </c>
      <c r="C33" t="str" cm="1">
        <f t="array" ref="C33">SplitDels($B33,del,C$1)</f>
        <v>19</v>
      </c>
      <c r="D33" t="str" cm="1">
        <f t="array" ref="D33">SplitDels($B33,del,D$1)</f>
        <v>r4verbf</v>
      </c>
      <c r="E33" t="str" cm="1">
        <f t="array" ref="E33">SplitDels($B33,del,E$1)</f>
        <v>Verbal fluency score</v>
      </c>
      <c r="F33" t="str" cm="1">
        <f t="array" ref="F33">SplitDels($B33,del,F$1)</f>
        <v/>
      </c>
      <c r="G33" t="str" cm="1">
        <f t="array" ref="G33">SplitDels($B33,del,G$1)</f>
        <v>D</v>
      </c>
      <c r="H33" t="str" cm="1">
        <f t="array" ref="H33">SplitDels($B33,del,H$1)</f>
        <v>Cognition</v>
      </c>
      <c r="I33" t="str" cm="1">
        <f t="array" ref="I33">getField(D33,E33)</f>
        <v xml:space="preserve">{ "id": "r4verbf", "name": "Verbal fluency score", "type": TYPE_FLOAT } , </v>
      </c>
    </row>
    <row r="34" spans="1:9" x14ac:dyDescent="0.3">
      <c r="A34">
        <v>23</v>
      </c>
      <c r="B34" t="s">
        <v>73</v>
      </c>
      <c r="C34" t="str" cm="1">
        <f t="array" ref="C34">SplitDels($B34,del,C$1)</f>
        <v>23</v>
      </c>
      <c r="D34" t="str" cm="1">
        <f t="array" ref="D34">SplitDels($B34,del,D$1)</f>
        <v>r4ser7</v>
      </c>
      <c r="E34" t="str" cm="1">
        <f t="array" ref="E34">SplitDels($B34,del,E$1)</f>
        <v>Score on the serial 7s test</v>
      </c>
      <c r="F34" t="str" cm="1">
        <f t="array" ref="F34">SplitDels($B34,del,F$1)</f>
        <v/>
      </c>
      <c r="G34" t="str" cm="1">
        <f t="array" ref="G34">SplitDels($B34,del,G$1)</f>
        <v>D</v>
      </c>
      <c r="H34" t="str" cm="1">
        <f t="array" ref="H34">SplitDels($B34,del,H$1)</f>
        <v>Cognition</v>
      </c>
      <c r="I34" t="str" cm="1">
        <f t="array" ref="I34">getField(D34,E34)</f>
        <v xml:space="preserve">{ "id": "r4ser7", "name": "Score on the serial 7s test", "type": TYPE_FLOAT } , </v>
      </c>
    </row>
    <row r="35" spans="1:9" x14ac:dyDescent="0.3">
      <c r="A35">
        <v>25</v>
      </c>
      <c r="B35" t="s">
        <v>75</v>
      </c>
      <c r="C35" t="str" cm="1">
        <f t="array" ref="C35">SplitDels($B35,del,C$1)</f>
        <v>25</v>
      </c>
      <c r="D35" t="str" cm="1">
        <f t="array" ref="D35">SplitDels($B35,del,D$1)</f>
        <v>r4tr16</v>
      </c>
      <c r="E35" t="str" cm="1">
        <f t="array" ref="E35">SplitDels($B35,del,E$1)</f>
        <v>Delayed recall score (16 items)</v>
      </c>
      <c r="F35" t="str" cm="1">
        <f t="array" ref="F35">SplitDels($B35,del,F$1)</f>
        <v/>
      </c>
      <c r="G35" t="str" cm="1">
        <f t="array" ref="G35">SplitDels($B35,del,G$1)</f>
        <v>D</v>
      </c>
      <c r="H35" t="str" cm="1">
        <f t="array" ref="H35">SplitDels($B35,del,H$1)</f>
        <v>Cognition</v>
      </c>
      <c r="I35" t="str" cm="1">
        <f t="array" ref="I35">getField(D35,E35)</f>
        <v xml:space="preserve">{ "id": "r4tr16", "name": "Delayed recall score (16 items)", "type": TYPE_FLOAT } , </v>
      </c>
    </row>
    <row r="36" spans="1:9" x14ac:dyDescent="0.3">
      <c r="A36">
        <v>18</v>
      </c>
      <c r="B36" t="s">
        <v>68</v>
      </c>
      <c r="C36" t="str" cm="1">
        <f t="array" ref="C36">SplitDels($B36,del,C$1)</f>
        <v>18</v>
      </c>
      <c r="D36" t="str" cm="1">
        <f t="array" ref="D36">SplitDels($B36,del,D$1)</f>
        <v>r4ipent</v>
      </c>
      <c r="E36" t="str" cm="1">
        <f t="array" ref="E36">SplitDels($B36,del,E$1)</f>
        <v>Total income from public pensions</v>
      </c>
      <c r="F36" t="str" cm="1">
        <f t="array" ref="F36">SplitDels($B36,del,F$1)</f>
        <v/>
      </c>
      <c r="G36" t="str" cm="1">
        <f t="array" ref="G36">SplitDels($B36,del,G$1)</f>
        <v>F</v>
      </c>
      <c r="H36" t="str" cm="1">
        <f t="array" ref="H36">SplitDels($B36,del,H$1)</f>
        <v>Income</v>
      </c>
      <c r="I36" t="str" cm="1">
        <f t="array" ref="I36">getField(D36,E36)</f>
        <v xml:space="preserve">{ "id": "r4ipent", "name": "Total income from public pensions", "type": TYPE_FLOAT } , </v>
      </c>
    </row>
    <row r="37" spans="1:9" x14ac:dyDescent="0.3">
      <c r="A37">
        <v>31</v>
      </c>
      <c r="B37" t="s">
        <v>81</v>
      </c>
      <c r="C37" t="str" cm="1">
        <f t="array" ref="C37">SplitDels($B37,del,C$1)</f>
        <v>31</v>
      </c>
      <c r="D37" t="str" cm="1">
        <f t="array" ref="D37">SplitDels($B37,del,D$1)</f>
        <v>r4tpamt</v>
      </c>
      <c r="E37" t="str" cm="1">
        <f t="array" ref="E37">SplitDels($B37,del,E$1)</f>
        <v>Total amount of private transfers received</v>
      </c>
      <c r="F37" t="str" cm="1">
        <f t="array" ref="F37">SplitDels($B37,del,F$1)</f>
        <v/>
      </c>
      <c r="G37" t="str" cm="1">
        <f t="array" ref="G37">SplitDels($B37,del,G$1)</f>
        <v>F</v>
      </c>
      <c r="H37" t="str" cm="1">
        <f t="array" ref="H37">SplitDels($B37,del,H$1)</f>
        <v>Income</v>
      </c>
      <c r="I37" t="str" cm="1">
        <f t="array" ref="I37">getField(D37,E37)</f>
        <v xml:space="preserve">{ "id": "r4tpamt", "name": "Total amount of private transfers received", "type": TYPE_FLOAT } , </v>
      </c>
    </row>
    <row r="38" spans="1:9" x14ac:dyDescent="0.3">
      <c r="A38">
        <v>43</v>
      </c>
      <c r="B38" t="s">
        <v>93</v>
      </c>
      <c r="C38" t="str" cm="1">
        <f t="array" ref="C38">SplitDels($B38,del,C$1)</f>
        <v>43</v>
      </c>
      <c r="D38" t="str" cm="1">
        <f t="array" ref="D38">SplitDels($B38,del,D$1)</f>
        <v>r4iearn</v>
      </c>
      <c r="E38" t="str" cm="1">
        <f t="array" ref="E38">SplitDels($B38,del,E$1)</f>
        <v>Labor income</v>
      </c>
      <c r="F38" t="str" cm="1">
        <f t="array" ref="F38">SplitDels($B38,del,F$1)</f>
        <v/>
      </c>
      <c r="G38" t="str" cm="1">
        <f t="array" ref="G38">SplitDels($B38,del,G$1)</f>
        <v>F</v>
      </c>
      <c r="H38" t="str" cm="1">
        <f t="array" ref="H38">SplitDels($B38,del,H$1)</f>
        <v>Income</v>
      </c>
      <c r="I38" t="str" cm="1">
        <f t="array" ref="I38">getField(D38,E38)</f>
        <v xml:space="preserve">{ "id": "r4iearn", "name": "Labor income", "type": TYPE_FLOAT } , </v>
      </c>
    </row>
    <row r="39" spans="1:9" x14ac:dyDescent="0.3">
      <c r="A39">
        <v>11</v>
      </c>
      <c r="B39" t="s">
        <v>61</v>
      </c>
      <c r="C39" t="str" cm="1">
        <f t="array" ref="C39">SplitDels($B39,del,C$1)</f>
        <v>11</v>
      </c>
      <c r="D39" t="str" cm="1">
        <f t="array" ref="D39">SplitDels($B39,del,D$1)</f>
        <v>r4livsib</v>
      </c>
      <c r="E39" t="str" cm="1">
        <f t="array" ref="E39">SplitDels($B39,del,E$1)</f>
        <v>Number of living siblings</v>
      </c>
      <c r="F39" t="str" cm="1">
        <f t="array" ref="F39">SplitDels($B39,del,F$1)</f>
        <v/>
      </c>
      <c r="G39" t="str" cm="1">
        <f t="array" ref="G39">SplitDels($B39,del,G$1)</f>
        <v>G</v>
      </c>
      <c r="H39" t="str" cm="1">
        <f t="array" ref="H39">SplitDels($B39,del,H$1)</f>
        <v>Family Structure</v>
      </c>
      <c r="I39" t="str" cm="1">
        <f t="array" ref="I39">getField(D39,E39)</f>
        <v xml:space="preserve">{ "id": "r4livsib", "name": "Number of living siblings", "type": TYPE_FLOAT } , </v>
      </c>
    </row>
    <row r="40" spans="1:9" x14ac:dyDescent="0.3">
      <c r="A40">
        <v>13</v>
      </c>
      <c r="B40" t="s">
        <v>63</v>
      </c>
      <c r="C40" t="str" cm="1">
        <f t="array" ref="C40">SplitDels($B40,del,C$1)</f>
        <v>13</v>
      </c>
      <c r="D40" t="str" cm="1">
        <f t="array" ref="D40">SplitDels($B40,del,D$1)</f>
        <v>raevbrn</v>
      </c>
      <c r="E40" t="str" cm="1">
        <f t="array" ref="E40">SplitDels($B40,del,E$1)</f>
        <v>Number of children ever born</v>
      </c>
      <c r="G40" t="str" cm="1">
        <f t="array" ref="G40">SplitDels($B40,del,F$1)</f>
        <v>G</v>
      </c>
      <c r="H40" t="str" cm="1">
        <f t="array" ref="H40">SplitDels($B40,del,G$1)</f>
        <v>Family Structure</v>
      </c>
      <c r="I40" t="str" cm="1">
        <f t="array" ref="I40">getField(D40,E40)</f>
        <v xml:space="preserve">{ "id": "raevbrn", "name": "Number of children ever born", "type": TYPE_FLOAT } , </v>
      </c>
    </row>
    <row r="41" spans="1:9" x14ac:dyDescent="0.3">
      <c r="A41">
        <v>21</v>
      </c>
      <c r="B41" t="s">
        <v>71</v>
      </c>
      <c r="C41" t="str" cm="1">
        <f t="array" ref="C41">SplitDels($B41,del,C$1)</f>
        <v>21</v>
      </c>
      <c r="D41" t="str" cm="1">
        <f t="array" ref="D41">SplitDels($B41,del,D$1)</f>
        <v>r4rfcntx_m</v>
      </c>
      <c r="E41" t="str" cm="1">
        <f t="array" ref="E41">SplitDels($B41,del,E$1)</f>
        <v>Frequency of contact with friends and relatives</v>
      </c>
      <c r="F41" t="str" cm="1">
        <f t="array" ref="F41">SplitDels($B41,del,F$1)</f>
        <v/>
      </c>
      <c r="G41" t="str" cm="1">
        <f t="array" ref="G41">SplitDels($B41,del,G$1)</f>
        <v>G</v>
      </c>
      <c r="H41" t="str" cm="1">
        <f t="array" ref="H41">SplitDels($B41,del,H$1)</f>
        <v>Family Structure</v>
      </c>
      <c r="I41" t="str" cm="1">
        <f t="array" ref="I41">getField(D41,E41)</f>
        <v xml:space="preserve">{ "id": "r4rfcntx_m", "name": "Frequency of contact with friends and relatives", "type": TYPE_FLOAT } , </v>
      </c>
    </row>
    <row r="42" spans="1:9" x14ac:dyDescent="0.3">
      <c r="A42">
        <v>28</v>
      </c>
      <c r="B42" t="s">
        <v>78</v>
      </c>
      <c r="C42" t="str" cm="1">
        <f t="array" ref="C42">SplitDels($B42,del,C$1)</f>
        <v>28</v>
      </c>
      <c r="D42" t="str" cm="1">
        <f t="array" ref="D42">SplitDels($B42,del,D$1)</f>
        <v>r4decsib</v>
      </c>
      <c r="E42" t="str" cm="1">
        <f t="array" ref="E42">SplitDels($B42,del,E$1)</f>
        <v>Number of deceased siblings</v>
      </c>
      <c r="F42" t="str" cm="1">
        <f t="array" ref="F42">SplitDels($B42,del,F$1)</f>
        <v/>
      </c>
      <c r="G42" t="str" cm="1">
        <f t="array" ref="G42">SplitDels($B42,del,G$1)</f>
        <v>G</v>
      </c>
      <c r="H42" t="str" cm="1">
        <f t="array" ref="H42">SplitDels($B42,del,H$1)</f>
        <v>Family Structure</v>
      </c>
      <c r="I42" t="str" cm="1">
        <f t="array" ref="I42">getField(D42,E42)</f>
        <v xml:space="preserve">{ "id": "r4decsib", "name": "Number of deceased siblings", "type": TYPE_FLOAT } , </v>
      </c>
    </row>
    <row r="43" spans="1:9" x14ac:dyDescent="0.3">
      <c r="A43">
        <v>32</v>
      </c>
      <c r="B43" t="s">
        <v>82</v>
      </c>
      <c r="C43" t="str" cm="1">
        <f t="array" ref="C43">SplitDels($B43,del,C$1)</f>
        <v>32</v>
      </c>
      <c r="D43" t="str" cm="1">
        <f t="array" ref="D43">SplitDels($B43,del,D$1)</f>
        <v>r4igxfr</v>
      </c>
      <c r="E43" t="str" cm="1">
        <f t="array" ref="E43">SplitDels($B43,del,E$1)</f>
        <v>Intergenerational transfers</v>
      </c>
      <c r="F43" t="str" cm="1">
        <f t="array" ref="F43">SplitDels($B43,del,F$1)</f>
        <v/>
      </c>
      <c r="G43" t="str" cm="1">
        <f t="array" ref="G43">SplitDels($B43,del,G$1)</f>
        <v>G</v>
      </c>
      <c r="H43" t="str" cm="1">
        <f t="array" ref="H43">SplitDels($B43,del,H$1)</f>
        <v>Family Structure</v>
      </c>
      <c r="I43" t="str" cm="1">
        <f t="array" ref="I43">getField(D43,E43)</f>
        <v xml:space="preserve">{ "id": "r4igxfr", "name": "Intergenerational transfers", "type": TYPE_FLOAT } , </v>
      </c>
    </row>
    <row r="44" spans="1:9" x14ac:dyDescent="0.3">
      <c r="A44">
        <v>2</v>
      </c>
      <c r="B44" t="s">
        <v>52</v>
      </c>
      <c r="C44" t="str" cm="1">
        <f t="array" ref="C44">SplitDels($B44,del,C$1)</f>
        <v>2</v>
      </c>
      <c r="D44" t="str" cm="1">
        <f t="array" ref="D44">SplitDels($B44,del,D$1)</f>
        <v>r4height</v>
      </c>
      <c r="E44" t="str" cm="1">
        <f t="array" ref="E44">SplitDels($B44,del,E$1)</f>
        <v>Height of the respondent</v>
      </c>
      <c r="F44" t="str" cm="1">
        <f t="array" ref="F44">SplitDels($B44,del,F$1)</f>
        <v/>
      </c>
      <c r="G44" t="str" cm="1">
        <f t="array" ref="G44">SplitDels($B44,del,G$1)</f>
        <v>K</v>
      </c>
      <c r="H44" t="str" cm="1">
        <f t="array" ref="H44">SplitDels($B44,del,H$1)</f>
        <v>Physical Measures</v>
      </c>
      <c r="I44" t="str" cm="1">
        <f t="array" ref="I44">getField(D44,E44)</f>
        <v xml:space="preserve">{ "id": "r4height", "name": "Height of the respondent", "type": TYPE_FLOAT } , </v>
      </c>
    </row>
    <row r="45" spans="1:9" x14ac:dyDescent="0.3">
      <c r="A45">
        <v>5</v>
      </c>
      <c r="B45" t="s">
        <v>55</v>
      </c>
      <c r="C45" t="str" cm="1">
        <f t="array" ref="C45">SplitDels($B45,del,C$1)</f>
        <v>5</v>
      </c>
      <c r="D45" t="str" cm="1">
        <f t="array" ref="D45">SplitDels($B45,del,D$1)</f>
        <v>r4weight</v>
      </c>
      <c r="E45" t="str" cm="1">
        <f t="array" ref="E45">SplitDels($B45,del,E$1)</f>
        <v>Weight of the respondent</v>
      </c>
      <c r="F45" t="str" cm="1">
        <f t="array" ref="F45">SplitDels($B45,del,F$1)</f>
        <v/>
      </c>
      <c r="G45" t="str" cm="1">
        <f t="array" ref="G45">SplitDels($B45,del,G$1)</f>
        <v>K</v>
      </c>
      <c r="H45" t="str" cm="1">
        <f t="array" ref="H45">SplitDels($B45,del,H$1)</f>
        <v>Physical Measures</v>
      </c>
      <c r="I45" t="str" cm="1">
        <f t="array" ref="I45">getField(D45,E45)</f>
        <v xml:space="preserve">{ "id": "r4weight", "name": "Weight of the respondent", "type": TYPE_FLOAT } , </v>
      </c>
    </row>
    <row r="46" spans="1:9" x14ac:dyDescent="0.3">
      <c r="A46">
        <v>12</v>
      </c>
      <c r="B46" t="s">
        <v>62</v>
      </c>
      <c r="C46" t="str" cm="1">
        <f t="array" ref="C46">SplitDels($B46,del,C$1)</f>
        <v>12</v>
      </c>
      <c r="D46" t="str" cm="1">
        <f t="array" ref="D46">SplitDels($B46,del,D$1)</f>
        <v>r4bmi</v>
      </c>
      <c r="E46" t="str" cm="1">
        <f t="array" ref="E46">SplitDels($B46,del,E$1)</f>
        <v>Body Mass Index (BMI)</v>
      </c>
      <c r="F46" t="str" cm="1">
        <f t="array" ref="F46">SplitDels($B46,del,F$1)</f>
        <v/>
      </c>
      <c r="G46" t="str" cm="1">
        <f t="array" ref="G46">SplitDels($B46,del,G$1)</f>
        <v>K</v>
      </c>
      <c r="H46" t="str" cm="1">
        <f t="array" ref="H46">SplitDels($B46,del,H$1)</f>
        <v>Physical Measures</v>
      </c>
      <c r="I46" t="str" cm="1">
        <f t="array" ref="I46">getField(D46,E46)</f>
        <v xml:space="preserve">{ "id": "r4bmi", "name": "Body Mass Index (BMI)", "type": TYPE_FLOAT } , </v>
      </c>
    </row>
    <row r="47" spans="1:9" x14ac:dyDescent="0.3">
      <c r="A47">
        <v>15</v>
      </c>
      <c r="B47" t="s">
        <v>65</v>
      </c>
      <c r="C47" t="str" cm="1">
        <f t="array" ref="C47">SplitDels($B47,del,C$1)</f>
        <v>15</v>
      </c>
      <c r="D47" t="str" cm="1">
        <f t="array" ref="D47">SplitDels($B47,del,D$1)</f>
        <v>r4vscan</v>
      </c>
      <c r="E47" t="str" cm="1">
        <f t="array" ref="E47">SplitDels($B47,del,E$1)</f>
        <v>Use of vascular scan</v>
      </c>
      <c r="F47" t="str" cm="1">
        <f t="array" ref="F47">SplitDels($B47,del,F$1)</f>
        <v/>
      </c>
      <c r="G47" t="str" cm="1">
        <f t="array" ref="G47">SplitDels($B47,del,G$1)</f>
        <v>K</v>
      </c>
      <c r="H47" t="str" cm="1">
        <f t="array" ref="H47">SplitDels($B47,del,H$1)</f>
        <v>Physical Measures</v>
      </c>
      <c r="I47" t="str" cm="1">
        <f t="array" ref="I47">getField(D47,E47)</f>
        <v xml:space="preserve">{ "id": "r4vscan", "name": "Use of vascular scan", "type": TYPE_FLOAT } , </v>
      </c>
    </row>
    <row r="48" spans="1:9" x14ac:dyDescent="0.3">
      <c r="A48">
        <v>36</v>
      </c>
      <c r="B48" t="s">
        <v>86</v>
      </c>
      <c r="C48" t="str" cm="1">
        <f t="array" ref="C48">SplitDels($B48,del,C$1)</f>
        <v>36</v>
      </c>
      <c r="D48" t="str" cm="1">
        <f t="array" ref="D48">SplitDels($B48,del,D$1)</f>
        <v>r4gcaresckd_m</v>
      </c>
      <c r="E48" t="str" cm="1">
        <f t="array" ref="E48">SplitDels($B48,del,E$1)</f>
        <v>Frequency of caring for a sick or disabled adult</v>
      </c>
      <c r="F48" t="str" cm="1">
        <f t="array" ref="F48">SplitDels($B48,del,F$1)</f>
        <v/>
      </c>
      <c r="G48" t="str" cm="1">
        <f t="array" ref="G48">SplitDels($B48,del,G$1)</f>
        <v>L</v>
      </c>
      <c r="H48" t="str" cm="1">
        <f t="array" ref="H48">SplitDels($B48,del,H$1)</f>
        <v>Assistance and Caregiving</v>
      </c>
      <c r="I48" t="str" cm="1">
        <f t="array" ref="I48">getField(D48,E48)</f>
        <v xml:space="preserve">{ "id": "r4gcaresckd_m", "name": "Frequency of caring for a sick or disabled adult", "type": TYPE_FLOAT } , </v>
      </c>
    </row>
    <row r="49" spans="1:9" x14ac:dyDescent="0.3">
      <c r="A49">
        <v>27</v>
      </c>
      <c r="B49" t="s">
        <v>77</v>
      </c>
      <c r="C49" t="str" cm="1">
        <f t="array" ref="C49">SplitDels($B49,del,C$1)</f>
        <v>27</v>
      </c>
      <c r="D49" t="str" cm="1">
        <f t="array" ref="D49">SplitDels($B49,del,D$1)</f>
        <v>r4lsatsc3</v>
      </c>
      <c r="E49" t="str" cm="1">
        <f t="array" ref="E49">SplitDels($B49,del,E$1)</f>
        <v>Life satisfaction</v>
      </c>
      <c r="F49" t="str" cm="1">
        <f t="array" ref="F49">SplitDels($B49,del,F$1)</f>
        <v/>
      </c>
      <c r="G49" t="str" cm="1">
        <f t="array" ref="G49">SplitDels($B49,del,G$1)</f>
        <v>Q</v>
      </c>
      <c r="H49" t="str" cm="1">
        <f t="array" ref="H49">SplitDels($B49,del,H$1)</f>
        <v>Psychosocial</v>
      </c>
      <c r="I49" t="str" cm="1">
        <f t="array" ref="I49">getField(D49,E49)</f>
        <v xml:space="preserve">{ "id": "r4lsatsc3", "name": "Life satisfaction", "type": TYPE_FLOAT } , </v>
      </c>
    </row>
    <row r="50" spans="1:9" x14ac:dyDescent="0.3">
      <c r="A50">
        <v>39</v>
      </c>
      <c r="B50" t="s">
        <v>89</v>
      </c>
      <c r="C50" t="str" cm="1">
        <f t="array" ref="C50">SplitDels($B50,del,C$1)</f>
        <v>39</v>
      </c>
      <c r="D50" t="str" cm="1">
        <f t="array" ref="D50">SplitDels($B50,del,D$1)</f>
        <v>r4socact_m</v>
      </c>
      <c r="E50" t="str" cm="1">
        <f t="array" ref="E50">SplitDels($B50,del,E$1)</f>
        <v>Social activities</v>
      </c>
      <c r="F50" t="str" cm="1">
        <f t="array" ref="F50">SplitDels($B50,del,F$1)</f>
        <v/>
      </c>
      <c r="G50" t="str" cm="1">
        <f t="array" ref="G50">SplitDels($B50,del,G$1)</f>
        <v>Q</v>
      </c>
      <c r="H50" t="str" cm="1">
        <f t="array" ref="H50">SplitDels($B50,del,H$1)</f>
        <v>Psychosocial</v>
      </c>
      <c r="I50" t="str" cm="1">
        <f t="array" ref="I50">getField(D50,E50)</f>
        <v xml:space="preserve">{ "id": "r4socact_m", "name": "Social activities", "type": TYPE_FLOAT } , </v>
      </c>
    </row>
    <row r="51" spans="1:9" x14ac:dyDescent="0.3">
      <c r="A51">
        <v>42</v>
      </c>
      <c r="B51" t="s">
        <v>92</v>
      </c>
      <c r="C51" t="str" cm="1">
        <f t="array" ref="C51">SplitDels($B51,del,C$1)</f>
        <v>42</v>
      </c>
      <c r="D51" t="str" cm="1">
        <f t="array" ref="D51">SplitDels($B51,del,D$1)</f>
        <v>r4enlife</v>
      </c>
      <c r="E51" t="str" cm="1">
        <f t="array" ref="E51">SplitDels($B51,del,E$1)</f>
        <v>Satisfaction with life</v>
      </c>
      <c r="F51" t="str" cm="1">
        <f t="array" ref="F51">SplitDels($B51,del,F$1)</f>
        <v/>
      </c>
      <c r="G51" t="str" cm="1">
        <f t="array" ref="G51">SplitDels($B51,del,G$1)</f>
        <v>Q</v>
      </c>
      <c r="H51" t="str" cm="1">
        <f t="array" ref="H51">SplitDels($B51,del,H$1)</f>
        <v>Psychosocial</v>
      </c>
      <c r="I51" t="str" cm="1">
        <f t="array" ref="I51">getField(D51,E51)</f>
        <v xml:space="preserve">{ "id": "r4enlife", "name": "Satisfaction with life", "type": TYPE_FLOAT } , </v>
      </c>
    </row>
  </sheetData>
  <sortState xmlns:xlrd2="http://schemas.microsoft.com/office/spreadsheetml/2017/richdata2" ref="A2:H51">
    <sortCondition ref="G2:G5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68563-449A-48FB-A0E4-00E0AF14E885}">
  <dimension ref="A1:B51"/>
  <sheetViews>
    <sheetView tabSelected="1" topLeftCell="A34" workbookViewId="0">
      <selection activeCell="B6" sqref="B6"/>
    </sheetView>
  </sheetViews>
  <sheetFormatPr baseColWidth="10" defaultRowHeight="14.4" x14ac:dyDescent="0.3"/>
  <sheetData>
    <row r="1" spans="1:2" x14ac:dyDescent="0.3">
      <c r="A1">
        <v>2</v>
      </c>
    </row>
    <row r="2" spans="1:2" x14ac:dyDescent="0.3">
      <c r="A2" t="s">
        <v>2</v>
      </c>
      <c r="B2" t="b">
        <f>A2=A1</f>
        <v>0</v>
      </c>
    </row>
    <row r="3" spans="1:2" x14ac:dyDescent="0.3">
      <c r="A3" t="s">
        <v>32</v>
      </c>
      <c r="B3" t="b">
        <f t="shared" ref="B3:B51" si="0">A3=A2</f>
        <v>0</v>
      </c>
    </row>
    <row r="4" spans="1:2" x14ac:dyDescent="0.3">
      <c r="A4" t="s">
        <v>11</v>
      </c>
      <c r="B4" t="b">
        <f t="shared" si="0"/>
        <v>0</v>
      </c>
    </row>
    <row r="5" spans="1:2" x14ac:dyDescent="0.3">
      <c r="A5" t="s">
        <v>29</v>
      </c>
      <c r="B5" t="b">
        <f t="shared" si="0"/>
        <v>0</v>
      </c>
    </row>
    <row r="6" spans="1:2" x14ac:dyDescent="0.3">
      <c r="A6" t="s">
        <v>0</v>
      </c>
      <c r="B6" t="b">
        <f t="shared" si="0"/>
        <v>0</v>
      </c>
    </row>
    <row r="7" spans="1:2" x14ac:dyDescent="0.3">
      <c r="A7" t="s">
        <v>27</v>
      </c>
      <c r="B7" t="b">
        <f t="shared" si="0"/>
        <v>0</v>
      </c>
    </row>
    <row r="8" spans="1:2" x14ac:dyDescent="0.3">
      <c r="A8" t="s">
        <v>45</v>
      </c>
      <c r="B8" t="b">
        <f t="shared" si="0"/>
        <v>0</v>
      </c>
    </row>
    <row r="9" spans="1:2" x14ac:dyDescent="0.3">
      <c r="A9" t="s">
        <v>6</v>
      </c>
      <c r="B9" t="b">
        <f t="shared" si="0"/>
        <v>0</v>
      </c>
    </row>
    <row r="10" spans="1:2" x14ac:dyDescent="0.3">
      <c r="A10" t="s">
        <v>41</v>
      </c>
      <c r="B10" t="b">
        <f t="shared" si="0"/>
        <v>0</v>
      </c>
    </row>
    <row r="11" spans="1:2" x14ac:dyDescent="0.3">
      <c r="A11" t="s">
        <v>35</v>
      </c>
      <c r="B11" t="b">
        <f t="shared" si="0"/>
        <v>0</v>
      </c>
    </row>
    <row r="12" spans="1:2" x14ac:dyDescent="0.3">
      <c r="A12" t="s">
        <v>21</v>
      </c>
      <c r="B12" t="b">
        <f t="shared" si="0"/>
        <v>0</v>
      </c>
    </row>
    <row r="13" spans="1:2" x14ac:dyDescent="0.3">
      <c r="A13" t="s">
        <v>1</v>
      </c>
      <c r="B13" t="b">
        <f t="shared" si="0"/>
        <v>0</v>
      </c>
    </row>
    <row r="14" spans="1:2" x14ac:dyDescent="0.3">
      <c r="A14" t="s">
        <v>23</v>
      </c>
      <c r="B14" t="b">
        <f t="shared" si="0"/>
        <v>0</v>
      </c>
    </row>
    <row r="15" spans="1:2" x14ac:dyDescent="0.3">
      <c r="A15" t="s">
        <v>7</v>
      </c>
      <c r="B15" t="b">
        <f t="shared" si="0"/>
        <v>0</v>
      </c>
    </row>
    <row r="16" spans="1:2" x14ac:dyDescent="0.3">
      <c r="A16" t="s">
        <v>9</v>
      </c>
      <c r="B16" t="b">
        <f t="shared" si="0"/>
        <v>0</v>
      </c>
    </row>
    <row r="17" spans="1:2" x14ac:dyDescent="0.3">
      <c r="A17" t="s">
        <v>42</v>
      </c>
      <c r="B17" t="b">
        <f t="shared" si="0"/>
        <v>0</v>
      </c>
    </row>
    <row r="18" spans="1:2" x14ac:dyDescent="0.3">
      <c r="A18" t="s">
        <v>31</v>
      </c>
      <c r="B18" t="b">
        <f t="shared" si="0"/>
        <v>0</v>
      </c>
    </row>
    <row r="19" spans="1:2" x14ac:dyDescent="0.3">
      <c r="A19" t="s">
        <v>13</v>
      </c>
      <c r="B19" t="b">
        <f t="shared" si="0"/>
        <v>0</v>
      </c>
    </row>
    <row r="20" spans="1:2" x14ac:dyDescent="0.3">
      <c r="A20" t="s">
        <v>17</v>
      </c>
      <c r="B20" t="b">
        <f t="shared" si="0"/>
        <v>0</v>
      </c>
    </row>
    <row r="21" spans="1:2" x14ac:dyDescent="0.3">
      <c r="A21" t="s">
        <v>37</v>
      </c>
      <c r="B21" t="b">
        <f t="shared" si="0"/>
        <v>0</v>
      </c>
    </row>
    <row r="22" spans="1:2" x14ac:dyDescent="0.3">
      <c r="A22" t="s">
        <v>10</v>
      </c>
      <c r="B22" t="b">
        <f t="shared" si="0"/>
        <v>0</v>
      </c>
    </row>
    <row r="23" spans="1:2" x14ac:dyDescent="0.3">
      <c r="A23" t="s">
        <v>26</v>
      </c>
      <c r="B23" t="b">
        <f t="shared" si="0"/>
        <v>0</v>
      </c>
    </row>
    <row r="24" spans="1:2" x14ac:dyDescent="0.3">
      <c r="A24" t="s">
        <v>3</v>
      </c>
      <c r="B24" t="b">
        <f t="shared" si="0"/>
        <v>0</v>
      </c>
    </row>
    <row r="25" spans="1:2" x14ac:dyDescent="0.3">
      <c r="A25" t="s">
        <v>25</v>
      </c>
      <c r="B25" t="b">
        <f t="shared" si="0"/>
        <v>0</v>
      </c>
    </row>
    <row r="26" spans="1:2" x14ac:dyDescent="0.3">
      <c r="A26" t="s">
        <v>28</v>
      </c>
      <c r="B26" t="b">
        <f t="shared" si="0"/>
        <v>0</v>
      </c>
    </row>
    <row r="27" spans="1:2" x14ac:dyDescent="0.3">
      <c r="A27" t="s">
        <v>33</v>
      </c>
      <c r="B27" t="b">
        <f t="shared" si="0"/>
        <v>0</v>
      </c>
    </row>
    <row r="28" spans="1:2" x14ac:dyDescent="0.3">
      <c r="A28" t="s">
        <v>43</v>
      </c>
      <c r="B28" t="b">
        <f t="shared" si="0"/>
        <v>0</v>
      </c>
    </row>
    <row r="29" spans="1:2" x14ac:dyDescent="0.3">
      <c r="A29" t="s">
        <v>20</v>
      </c>
      <c r="B29" t="b">
        <f t="shared" si="0"/>
        <v>0</v>
      </c>
    </row>
    <row r="30" spans="1:2" x14ac:dyDescent="0.3">
      <c r="A30" t="s">
        <v>40</v>
      </c>
      <c r="B30" t="b">
        <f t="shared" si="0"/>
        <v>0</v>
      </c>
    </row>
    <row r="31" spans="1:2" x14ac:dyDescent="0.3">
      <c r="A31" t="s">
        <v>47</v>
      </c>
      <c r="B31" t="b">
        <f t="shared" si="0"/>
        <v>0</v>
      </c>
    </row>
    <row r="32" spans="1:2" x14ac:dyDescent="0.3">
      <c r="A32" t="s">
        <v>22</v>
      </c>
      <c r="B32" t="b">
        <f t="shared" si="0"/>
        <v>0</v>
      </c>
    </row>
    <row r="33" spans="1:2" x14ac:dyDescent="0.3">
      <c r="A33" t="s">
        <v>16</v>
      </c>
      <c r="B33" t="b">
        <f t="shared" si="0"/>
        <v>0</v>
      </c>
    </row>
    <row r="34" spans="1:2" x14ac:dyDescent="0.3">
      <c r="A34" t="s">
        <v>19</v>
      </c>
      <c r="B34" t="b">
        <f t="shared" si="0"/>
        <v>0</v>
      </c>
    </row>
    <row r="35" spans="1:2" x14ac:dyDescent="0.3">
      <c r="A35" t="s">
        <v>49</v>
      </c>
      <c r="B35" t="b">
        <f t="shared" si="0"/>
        <v>0</v>
      </c>
    </row>
    <row r="36" spans="1:2" x14ac:dyDescent="0.3">
      <c r="A36" t="s">
        <v>15</v>
      </c>
      <c r="B36" t="b">
        <f t="shared" si="0"/>
        <v>0</v>
      </c>
    </row>
    <row r="37" spans="1:2" x14ac:dyDescent="0.3">
      <c r="A37" t="s">
        <v>38</v>
      </c>
      <c r="B37" t="b">
        <f t="shared" si="0"/>
        <v>0</v>
      </c>
    </row>
    <row r="38" spans="1:2" x14ac:dyDescent="0.3">
      <c r="A38" t="s">
        <v>48</v>
      </c>
      <c r="B38" t="b">
        <f t="shared" si="0"/>
        <v>0</v>
      </c>
    </row>
    <row r="39" spans="1:2" x14ac:dyDescent="0.3">
      <c r="A39" t="s">
        <v>30</v>
      </c>
      <c r="B39" t="b">
        <f t="shared" si="0"/>
        <v>0</v>
      </c>
    </row>
    <row r="40" spans="1:2" x14ac:dyDescent="0.3">
      <c r="A40" t="s">
        <v>24</v>
      </c>
      <c r="B40" t="b">
        <f t="shared" si="0"/>
        <v>0</v>
      </c>
    </row>
    <row r="41" spans="1:2" x14ac:dyDescent="0.3">
      <c r="A41" t="s">
        <v>18</v>
      </c>
      <c r="B41" t="b">
        <f t="shared" si="0"/>
        <v>0</v>
      </c>
    </row>
    <row r="42" spans="1:2" x14ac:dyDescent="0.3">
      <c r="A42" t="s">
        <v>34</v>
      </c>
      <c r="B42" t="b">
        <f t="shared" si="0"/>
        <v>0</v>
      </c>
    </row>
    <row r="43" spans="1:2" x14ac:dyDescent="0.3">
      <c r="A43" t="s">
        <v>14</v>
      </c>
      <c r="B43" t="b">
        <f t="shared" si="0"/>
        <v>0</v>
      </c>
    </row>
    <row r="44" spans="1:2" x14ac:dyDescent="0.3">
      <c r="A44" t="s">
        <v>44</v>
      </c>
      <c r="B44" t="b">
        <f t="shared" si="0"/>
        <v>0</v>
      </c>
    </row>
    <row r="45" spans="1:2" x14ac:dyDescent="0.3">
      <c r="A45" t="s">
        <v>36</v>
      </c>
      <c r="B45" t="b">
        <f t="shared" si="0"/>
        <v>0</v>
      </c>
    </row>
    <row r="46" spans="1:2" x14ac:dyDescent="0.3">
      <c r="A46" t="s">
        <v>4</v>
      </c>
      <c r="B46" t="b">
        <f t="shared" si="0"/>
        <v>0</v>
      </c>
    </row>
    <row r="47" spans="1:2" x14ac:dyDescent="0.3">
      <c r="A47" t="s">
        <v>5</v>
      </c>
      <c r="B47" t="b">
        <f t="shared" si="0"/>
        <v>0</v>
      </c>
    </row>
    <row r="48" spans="1:2" x14ac:dyDescent="0.3">
      <c r="A48" t="s">
        <v>8</v>
      </c>
      <c r="B48" t="b">
        <f t="shared" si="0"/>
        <v>0</v>
      </c>
    </row>
    <row r="49" spans="1:2" x14ac:dyDescent="0.3">
      <c r="A49" t="s">
        <v>12</v>
      </c>
      <c r="B49" t="b">
        <f t="shared" si="0"/>
        <v>0</v>
      </c>
    </row>
    <row r="50" spans="1:2" x14ac:dyDescent="0.3">
      <c r="A50" t="s">
        <v>39</v>
      </c>
      <c r="B50" t="b">
        <f t="shared" si="0"/>
        <v>0</v>
      </c>
    </row>
    <row r="51" spans="1:2" x14ac:dyDescent="0.3">
      <c r="A51" t="s">
        <v>46</v>
      </c>
      <c r="B51" t="b">
        <f t="shared" si="0"/>
        <v>0</v>
      </c>
    </row>
  </sheetData>
  <sortState xmlns:xlrd2="http://schemas.microsoft.com/office/spreadsheetml/2017/richdata2" ref="A2:A51">
    <sortCondition ref="A4:A5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F10B5-030C-49C1-A85A-3B5641806ACC}">
  <sheetPr codeName="Hoja3"/>
  <dimension ref="A1:B1"/>
  <sheetViews>
    <sheetView workbookViewId="0">
      <selection activeCell="A7" sqref="A7"/>
    </sheetView>
  </sheetViews>
  <sheetFormatPr baseColWidth="10" defaultRowHeight="14.4" x14ac:dyDescent="0.3"/>
  <sheetData>
    <row r="1" spans="1:2" x14ac:dyDescent="0.3">
      <c r="A1" t="s">
        <v>151</v>
      </c>
      <c r="B1" t="s">
        <v>152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2BF82-70F6-413D-B6C7-BB6400CA7B90}">
  <sheetPr codeName="Hoja1"/>
  <dimension ref="A1:C51"/>
  <sheetViews>
    <sheetView workbookViewId="0">
      <selection activeCell="B6" sqref="B6"/>
    </sheetView>
  </sheetViews>
  <sheetFormatPr baseColWidth="10" defaultRowHeight="14.4" x14ac:dyDescent="0.3"/>
  <cols>
    <col min="2" max="2" width="29.6640625" customWidth="1"/>
  </cols>
  <sheetData>
    <row r="1" spans="1:3" x14ac:dyDescent="0.3">
      <c r="A1" t="s">
        <v>50</v>
      </c>
    </row>
    <row r="2" spans="1:3" x14ac:dyDescent="0.3">
      <c r="A2" t="s">
        <v>0</v>
      </c>
      <c r="B2" t="s">
        <v>51</v>
      </c>
      <c r="C2" t="s">
        <v>101</v>
      </c>
    </row>
    <row r="3" spans="1:3" x14ac:dyDescent="0.3">
      <c r="A3" t="s">
        <v>1</v>
      </c>
      <c r="B3" t="s">
        <v>52</v>
      </c>
      <c r="C3" t="s">
        <v>102</v>
      </c>
    </row>
    <row r="4" spans="1:3" x14ac:dyDescent="0.3">
      <c r="A4" t="s">
        <v>2</v>
      </c>
      <c r="B4" t="s">
        <v>53</v>
      </c>
      <c r="C4" t="s">
        <v>103</v>
      </c>
    </row>
    <row r="5" spans="1:3" x14ac:dyDescent="0.3">
      <c r="A5" t="s">
        <v>3</v>
      </c>
      <c r="B5" t="s">
        <v>54</v>
      </c>
      <c r="C5" t="s">
        <v>104</v>
      </c>
    </row>
    <row r="6" spans="1:3" x14ac:dyDescent="0.3">
      <c r="A6" t="s">
        <v>4</v>
      </c>
      <c r="B6" t="s">
        <v>55</v>
      </c>
      <c r="C6" t="s">
        <v>105</v>
      </c>
    </row>
    <row r="7" spans="1:3" x14ac:dyDescent="0.3">
      <c r="A7" t="s">
        <v>5</v>
      </c>
      <c r="B7" t="s">
        <v>56</v>
      </c>
      <c r="C7" t="s">
        <v>106</v>
      </c>
    </row>
    <row r="8" spans="1:3" x14ac:dyDescent="0.3">
      <c r="A8" t="s">
        <v>6</v>
      </c>
      <c r="B8" t="s">
        <v>57</v>
      </c>
      <c r="C8" t="s">
        <v>107</v>
      </c>
    </row>
    <row r="9" spans="1:3" x14ac:dyDescent="0.3">
      <c r="A9" t="s">
        <v>7</v>
      </c>
      <c r="B9" t="s">
        <v>58</v>
      </c>
      <c r="C9" t="s">
        <v>108</v>
      </c>
    </row>
    <row r="10" spans="1:3" x14ac:dyDescent="0.3">
      <c r="A10" t="s">
        <v>8</v>
      </c>
      <c r="B10" t="s">
        <v>59</v>
      </c>
      <c r="C10" t="s">
        <v>109</v>
      </c>
    </row>
    <row r="11" spans="1:3" x14ac:dyDescent="0.3">
      <c r="A11" t="s">
        <v>9</v>
      </c>
      <c r="B11" t="s">
        <v>60</v>
      </c>
      <c r="C11" t="s">
        <v>110</v>
      </c>
    </row>
    <row r="12" spans="1:3" x14ac:dyDescent="0.3">
      <c r="A12" t="s">
        <v>10</v>
      </c>
      <c r="B12" t="s">
        <v>61</v>
      </c>
      <c r="C12" t="s">
        <v>111</v>
      </c>
    </row>
    <row r="13" spans="1:3" x14ac:dyDescent="0.3">
      <c r="A13" t="s">
        <v>11</v>
      </c>
      <c r="B13" t="s">
        <v>62</v>
      </c>
      <c r="C13" t="s">
        <v>112</v>
      </c>
    </row>
    <row r="14" spans="1:3" x14ac:dyDescent="0.3">
      <c r="A14" t="s">
        <v>12</v>
      </c>
      <c r="B14" t="s">
        <v>63</v>
      </c>
      <c r="C14" t="s">
        <v>113</v>
      </c>
    </row>
    <row r="15" spans="1:3" x14ac:dyDescent="0.3">
      <c r="A15" t="s">
        <v>13</v>
      </c>
      <c r="B15" t="s">
        <v>64</v>
      </c>
      <c r="C15" t="s">
        <v>114</v>
      </c>
    </row>
    <row r="16" spans="1:3" x14ac:dyDescent="0.3">
      <c r="A16" t="s">
        <v>14</v>
      </c>
      <c r="B16" t="s">
        <v>65</v>
      </c>
      <c r="C16" t="s">
        <v>115</v>
      </c>
    </row>
    <row r="17" spans="1:3" x14ac:dyDescent="0.3">
      <c r="A17" t="s">
        <v>15</v>
      </c>
      <c r="B17" t="s">
        <v>66</v>
      </c>
      <c r="C17" t="s">
        <v>116</v>
      </c>
    </row>
    <row r="18" spans="1:3" x14ac:dyDescent="0.3">
      <c r="A18" t="s">
        <v>16</v>
      </c>
      <c r="B18" t="s">
        <v>67</v>
      </c>
      <c r="C18" t="s">
        <v>117</v>
      </c>
    </row>
    <row r="19" spans="1:3" x14ac:dyDescent="0.3">
      <c r="A19" t="s">
        <v>17</v>
      </c>
      <c r="B19" t="s">
        <v>68</v>
      </c>
      <c r="C19" t="s">
        <v>118</v>
      </c>
    </row>
    <row r="20" spans="1:3" x14ac:dyDescent="0.3">
      <c r="A20" t="s">
        <v>18</v>
      </c>
      <c r="B20" t="s">
        <v>69</v>
      </c>
      <c r="C20" t="s">
        <v>119</v>
      </c>
    </row>
    <row r="21" spans="1:3" x14ac:dyDescent="0.3">
      <c r="A21" t="s">
        <v>19</v>
      </c>
      <c r="B21" t="s">
        <v>70</v>
      </c>
      <c r="C21" t="s">
        <v>120</v>
      </c>
    </row>
    <row r="22" spans="1:3" x14ac:dyDescent="0.3">
      <c r="A22" t="s">
        <v>20</v>
      </c>
      <c r="B22" t="s">
        <v>71</v>
      </c>
      <c r="C22" t="s">
        <v>121</v>
      </c>
    </row>
    <row r="23" spans="1:3" x14ac:dyDescent="0.3">
      <c r="A23" t="s">
        <v>21</v>
      </c>
      <c r="B23" t="s">
        <v>72</v>
      </c>
      <c r="C23" t="s">
        <v>122</v>
      </c>
    </row>
    <row r="24" spans="1:3" x14ac:dyDescent="0.3">
      <c r="A24" t="s">
        <v>22</v>
      </c>
      <c r="B24" t="s">
        <v>73</v>
      </c>
      <c r="C24" t="s">
        <v>123</v>
      </c>
    </row>
    <row r="25" spans="1:3" x14ac:dyDescent="0.3">
      <c r="A25" t="s">
        <v>23</v>
      </c>
      <c r="B25" t="s">
        <v>74</v>
      </c>
      <c r="C25" t="s">
        <v>124</v>
      </c>
    </row>
    <row r="26" spans="1:3" x14ac:dyDescent="0.3">
      <c r="A26" t="s">
        <v>24</v>
      </c>
      <c r="B26" t="s">
        <v>75</v>
      </c>
      <c r="C26" t="s">
        <v>125</v>
      </c>
    </row>
    <row r="27" spans="1:3" x14ac:dyDescent="0.3">
      <c r="A27" t="s">
        <v>25</v>
      </c>
      <c r="B27" t="s">
        <v>76</v>
      </c>
      <c r="C27" t="s">
        <v>126</v>
      </c>
    </row>
    <row r="28" spans="1:3" x14ac:dyDescent="0.3">
      <c r="A28" t="s">
        <v>26</v>
      </c>
      <c r="B28" t="s">
        <v>77</v>
      </c>
      <c r="C28" t="s">
        <v>127</v>
      </c>
    </row>
    <row r="29" spans="1:3" x14ac:dyDescent="0.3">
      <c r="A29" t="s">
        <v>27</v>
      </c>
      <c r="B29" t="s">
        <v>78</v>
      </c>
      <c r="C29" t="s">
        <v>128</v>
      </c>
    </row>
    <row r="30" spans="1:3" x14ac:dyDescent="0.3">
      <c r="A30" t="s">
        <v>28</v>
      </c>
      <c r="B30" t="s">
        <v>79</v>
      </c>
      <c r="C30" t="s">
        <v>129</v>
      </c>
    </row>
    <row r="31" spans="1:3" x14ac:dyDescent="0.3">
      <c r="A31" t="s">
        <v>29</v>
      </c>
      <c r="B31" t="s">
        <v>80</v>
      </c>
      <c r="C31" t="s">
        <v>130</v>
      </c>
    </row>
    <row r="32" spans="1:3" x14ac:dyDescent="0.3">
      <c r="A32" t="s">
        <v>30</v>
      </c>
      <c r="B32" t="s">
        <v>81</v>
      </c>
      <c r="C32" t="s">
        <v>131</v>
      </c>
    </row>
    <row r="33" spans="1:3" x14ac:dyDescent="0.3">
      <c r="A33" t="s">
        <v>31</v>
      </c>
      <c r="B33" t="s">
        <v>82</v>
      </c>
      <c r="C33" t="s">
        <v>132</v>
      </c>
    </row>
    <row r="34" spans="1:3" x14ac:dyDescent="0.3">
      <c r="A34" t="s">
        <v>32</v>
      </c>
      <c r="B34" t="s">
        <v>83</v>
      </c>
      <c r="C34" t="s">
        <v>133</v>
      </c>
    </row>
    <row r="35" spans="1:3" x14ac:dyDescent="0.3">
      <c r="A35" t="s">
        <v>33</v>
      </c>
      <c r="B35" t="s">
        <v>84</v>
      </c>
      <c r="C35" t="s">
        <v>134</v>
      </c>
    </row>
    <row r="36" spans="1:3" x14ac:dyDescent="0.3">
      <c r="A36" t="s">
        <v>34</v>
      </c>
      <c r="B36" t="s">
        <v>85</v>
      </c>
      <c r="C36" t="s">
        <v>135</v>
      </c>
    </row>
    <row r="37" spans="1:3" x14ac:dyDescent="0.3">
      <c r="A37" t="s">
        <v>35</v>
      </c>
      <c r="B37" t="s">
        <v>86</v>
      </c>
      <c r="C37" t="s">
        <v>136</v>
      </c>
    </row>
    <row r="38" spans="1:3" x14ac:dyDescent="0.3">
      <c r="A38" t="s">
        <v>36</v>
      </c>
      <c r="B38" t="s">
        <v>87</v>
      </c>
      <c r="C38" t="s">
        <v>137</v>
      </c>
    </row>
    <row r="39" spans="1:3" x14ac:dyDescent="0.3">
      <c r="A39" t="s">
        <v>37</v>
      </c>
      <c r="B39" t="s">
        <v>88</v>
      </c>
      <c r="C39" t="s">
        <v>138</v>
      </c>
    </row>
    <row r="40" spans="1:3" x14ac:dyDescent="0.3">
      <c r="A40" t="s">
        <v>38</v>
      </c>
      <c r="B40" t="s">
        <v>89</v>
      </c>
      <c r="C40" t="s">
        <v>139</v>
      </c>
    </row>
    <row r="41" spans="1:3" x14ac:dyDescent="0.3">
      <c r="A41" t="s">
        <v>39</v>
      </c>
      <c r="B41" t="s">
        <v>90</v>
      </c>
      <c r="C41" t="s">
        <v>140</v>
      </c>
    </row>
    <row r="42" spans="1:3" x14ac:dyDescent="0.3">
      <c r="A42" t="s">
        <v>40</v>
      </c>
      <c r="B42" t="s">
        <v>91</v>
      </c>
      <c r="C42" t="s">
        <v>141</v>
      </c>
    </row>
    <row r="43" spans="1:3" x14ac:dyDescent="0.3">
      <c r="A43" t="s">
        <v>41</v>
      </c>
      <c r="B43" t="s">
        <v>92</v>
      </c>
      <c r="C43" t="s">
        <v>142</v>
      </c>
    </row>
    <row r="44" spans="1:3" x14ac:dyDescent="0.3">
      <c r="A44" t="s">
        <v>42</v>
      </c>
      <c r="B44" t="s">
        <v>93</v>
      </c>
      <c r="C44" t="s">
        <v>143</v>
      </c>
    </row>
    <row r="45" spans="1:3" x14ac:dyDescent="0.3">
      <c r="A45" t="s">
        <v>43</v>
      </c>
      <c r="B45" t="s">
        <v>94</v>
      </c>
      <c r="C45" t="s">
        <v>144</v>
      </c>
    </row>
    <row r="46" spans="1:3" x14ac:dyDescent="0.3">
      <c r="A46" t="s">
        <v>44</v>
      </c>
      <c r="B46" t="s">
        <v>95</v>
      </c>
      <c r="C46" t="s">
        <v>145</v>
      </c>
    </row>
    <row r="47" spans="1:3" x14ac:dyDescent="0.3">
      <c r="A47" t="s">
        <v>45</v>
      </c>
      <c r="B47" t="s">
        <v>96</v>
      </c>
      <c r="C47" t="s">
        <v>146</v>
      </c>
    </row>
    <row r="48" spans="1:3" x14ac:dyDescent="0.3">
      <c r="A48" t="s">
        <v>46</v>
      </c>
      <c r="B48" t="s">
        <v>97</v>
      </c>
      <c r="C48" t="s">
        <v>147</v>
      </c>
    </row>
    <row r="49" spans="1:3" x14ac:dyDescent="0.3">
      <c r="A49" t="s">
        <v>47</v>
      </c>
      <c r="B49" t="s">
        <v>98</v>
      </c>
      <c r="C49" t="s">
        <v>148</v>
      </c>
    </row>
    <row r="50" spans="1:3" x14ac:dyDescent="0.3">
      <c r="A50" t="s">
        <v>48</v>
      </c>
      <c r="B50" t="s">
        <v>99</v>
      </c>
      <c r="C50" t="s">
        <v>149</v>
      </c>
    </row>
    <row r="51" spans="1:3" x14ac:dyDescent="0.3">
      <c r="A51" t="s">
        <v>49</v>
      </c>
      <c r="B51" t="s">
        <v>100</v>
      </c>
      <c r="C51" t="s">
        <v>150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Hoja2</vt:lpstr>
      <vt:lpstr>Hoja4</vt:lpstr>
      <vt:lpstr>Hoja3</vt:lpstr>
      <vt:lpstr>Hoja1</vt:lpstr>
      <vt:lpstr>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Miconi</dc:creator>
  <cp:lastModifiedBy>Alejandro Miconi</cp:lastModifiedBy>
  <dcterms:created xsi:type="dcterms:W3CDTF">2025-03-15T10:39:15Z</dcterms:created>
  <dcterms:modified xsi:type="dcterms:W3CDTF">2025-03-16T12:18:26Z</dcterms:modified>
</cp:coreProperties>
</file>